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AquestLlibreDeTreball" defaultThemeVersion="202300"/>
  <mc:AlternateContent xmlns:mc="http://schemas.openxmlformats.org/markup-compatibility/2006">
    <mc:Choice Requires="x15">
      <x15ac:absPath xmlns:x15ac="http://schemas.microsoft.com/office/spreadsheetml/2010/11/ac" url="D:\La meva unitat\FCT\Promoció 2025-27\"/>
    </mc:Choice>
  </mc:AlternateContent>
  <xr:revisionPtr revIDLastSave="0" documentId="13_ncr:1_{F8D7F2CE-F48B-4A6D-ABCC-D624EFF49CF7}" xr6:coauthVersionLast="47" xr6:coauthVersionMax="47" xr10:uidLastSave="{00000000-0000-0000-0000-000000000000}"/>
  <bookViews>
    <workbookView xWindow="-110" yWindow="-110" windowWidth="25820" windowHeight="15500" tabRatio="658" xr2:uid="{07D53BE8-2889-41BB-846E-9288035DC3D5}"/>
  </bookViews>
  <sheets>
    <sheet name="Alumnes" sheetId="1" r:id="rId1"/>
    <sheet name="Empreses" sheetId="3" r:id="rId2"/>
    <sheet name="Seguiment" sheetId="6" r:id="rId3"/>
    <sheet name="Resum alumnes" sheetId="4" r:id="rId4"/>
    <sheet name="Resum seguiment" sheetId="8" r:id="rId5"/>
    <sheet name="Paràmetres" sheetId="2" state="hidden" r:id="rId6"/>
    <sheet name="Questionari" sheetId="9" r:id="rId7"/>
    <sheet name="Adreces alumnes" sheetId="10" r:id="rId8"/>
  </sheets>
  <definedNames>
    <definedName name="Afinador_Alumne">#N/A</definedName>
    <definedName name="Afinador_Comentari">#N/A</definedName>
    <definedName name="Afinador_Empresa">#N/A</definedName>
    <definedName name="Afinador_Ok">#N/A</definedName>
    <definedName name="Afinador_Tipus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6" l="1"/>
  <c r="G93" i="6"/>
  <c r="H93" i="6"/>
  <c r="I93" i="6"/>
  <c r="F92" i="6"/>
  <c r="G92" i="6"/>
  <c r="H92" i="6"/>
  <c r="I92" i="6"/>
  <c r="F91" i="6"/>
  <c r="G91" i="6"/>
  <c r="H91" i="6"/>
  <c r="I91" i="6"/>
  <c r="F90" i="6"/>
  <c r="G90" i="6"/>
  <c r="H90" i="6"/>
  <c r="I90" i="6"/>
  <c r="F89" i="6"/>
  <c r="G89" i="6"/>
  <c r="H89" i="6"/>
  <c r="I89" i="6"/>
  <c r="F88" i="6"/>
  <c r="G88" i="6"/>
  <c r="H88" i="6"/>
  <c r="I88" i="6"/>
  <c r="J23" i="3"/>
  <c r="K23" i="3"/>
  <c r="F87" i="6"/>
  <c r="G87" i="6"/>
  <c r="H87" i="6"/>
  <c r="I87" i="6"/>
  <c r="F86" i="6"/>
  <c r="G86" i="6"/>
  <c r="H86" i="6"/>
  <c r="I86" i="6"/>
  <c r="F85" i="6"/>
  <c r="G85" i="6"/>
  <c r="H85" i="6"/>
  <c r="I85" i="6"/>
  <c r="F84" i="6"/>
  <c r="G84" i="6"/>
  <c r="H84" i="6"/>
  <c r="I84" i="6"/>
  <c r="F83" i="6"/>
  <c r="G83" i="6"/>
  <c r="H83" i="6"/>
  <c r="I83" i="6"/>
  <c r="F82" i="6"/>
  <c r="G82" i="6"/>
  <c r="H82" i="6"/>
  <c r="I82" i="6"/>
  <c r="F81" i="6"/>
  <c r="G81" i="6"/>
  <c r="H81" i="6"/>
  <c r="I81" i="6"/>
  <c r="F80" i="6"/>
  <c r="G80" i="6"/>
  <c r="H80" i="6"/>
  <c r="I80" i="6"/>
  <c r="F79" i="6"/>
  <c r="G79" i="6"/>
  <c r="H79" i="6"/>
  <c r="I79" i="6"/>
  <c r="F78" i="6"/>
  <c r="G78" i="6"/>
  <c r="H78" i="6"/>
  <c r="I78" i="6"/>
  <c r="F77" i="6"/>
  <c r="G77" i="6"/>
  <c r="H77" i="6"/>
  <c r="I77" i="6"/>
  <c r="F76" i="6"/>
  <c r="G76" i="6"/>
  <c r="H76" i="6"/>
  <c r="I76" i="6"/>
  <c r="F74" i="6"/>
  <c r="F75" i="6"/>
  <c r="G74" i="6"/>
  <c r="G75" i="6"/>
  <c r="H74" i="6"/>
  <c r="H75" i="6"/>
  <c r="I74" i="6"/>
  <c r="I75" i="6"/>
  <c r="F73" i="6"/>
  <c r="G73" i="6"/>
  <c r="H73" i="6"/>
  <c r="I73" i="6"/>
  <c r="F72" i="6"/>
  <c r="G72" i="6"/>
  <c r="H72" i="6"/>
  <c r="I72" i="6"/>
  <c r="J22" i="3"/>
  <c r="K22" i="3"/>
  <c r="F71" i="6"/>
  <c r="G71" i="6"/>
  <c r="H71" i="6"/>
  <c r="I71" i="6"/>
  <c r="F70" i="6"/>
  <c r="G70" i="6"/>
  <c r="H70" i="6"/>
  <c r="I70" i="6"/>
  <c r="F69" i="6"/>
  <c r="G69" i="6"/>
  <c r="H69" i="6"/>
  <c r="I69" i="6"/>
  <c r="F68" i="6"/>
  <c r="G68" i="6"/>
  <c r="H68" i="6"/>
  <c r="I68" i="6"/>
  <c r="F67" i="6"/>
  <c r="G67" i="6"/>
  <c r="H67" i="6"/>
  <c r="I67" i="6"/>
  <c r="J21" i="3"/>
  <c r="K21" i="3"/>
  <c r="F66" i="6" l="1"/>
  <c r="G66" i="6"/>
  <c r="H66" i="6"/>
  <c r="I66" i="6"/>
  <c r="F65" i="6" l="1"/>
  <c r="G65" i="6"/>
  <c r="H65" i="6"/>
  <c r="I65" i="6"/>
  <c r="F64" i="6"/>
  <c r="G64" i="6"/>
  <c r="H64" i="6"/>
  <c r="I64" i="6"/>
  <c r="F62" i="6"/>
  <c r="F63" i="6"/>
  <c r="G62" i="6"/>
  <c r="G63" i="6"/>
  <c r="H62" i="6"/>
  <c r="H63" i="6"/>
  <c r="I62" i="6"/>
  <c r="I63" i="6"/>
  <c r="J20" i="3"/>
  <c r="K20" i="3"/>
  <c r="F61" i="6" l="1"/>
  <c r="G61" i="6"/>
  <c r="H61" i="6"/>
  <c r="I61" i="6"/>
  <c r="F60" i="6"/>
  <c r="G60" i="6"/>
  <c r="H60" i="6"/>
  <c r="I60" i="6"/>
  <c r="F59" i="6" l="1"/>
  <c r="G59" i="6"/>
  <c r="H59" i="6"/>
  <c r="I59" i="6"/>
  <c r="F58" i="6"/>
  <c r="G58" i="6"/>
  <c r="H58" i="6"/>
  <c r="I58" i="6"/>
  <c r="F57" i="6"/>
  <c r="G57" i="6"/>
  <c r="H57" i="6"/>
  <c r="I57" i="6"/>
  <c r="F56" i="6" l="1"/>
  <c r="G56" i="6"/>
  <c r="H56" i="6"/>
  <c r="I56" i="6"/>
  <c r="F55" i="6"/>
  <c r="G55" i="6"/>
  <c r="H55" i="6"/>
  <c r="I55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F53" i="6"/>
  <c r="F54" i="6"/>
  <c r="G53" i="6"/>
  <c r="G54" i="6"/>
  <c r="I53" i="6"/>
  <c r="I54" i="6"/>
  <c r="F52" i="6"/>
  <c r="G52" i="6"/>
  <c r="I52" i="6"/>
  <c r="J19" i="3"/>
  <c r="K19" i="3"/>
  <c r="F51" i="6"/>
  <c r="G51" i="6"/>
  <c r="I51" i="6"/>
  <c r="F50" i="6"/>
  <c r="G50" i="6"/>
  <c r="I50" i="6"/>
  <c r="J18" i="3"/>
  <c r="K18" i="3"/>
  <c r="F49" i="6" l="1"/>
  <c r="G49" i="6"/>
  <c r="I49" i="6"/>
  <c r="F48" i="6"/>
  <c r="G48" i="6"/>
  <c r="I48" i="6"/>
  <c r="F47" i="6"/>
  <c r="G47" i="6"/>
  <c r="I47" i="6"/>
  <c r="J17" i="3"/>
  <c r="K17" i="3"/>
  <c r="F46" i="6"/>
  <c r="G46" i="6"/>
  <c r="I46" i="6"/>
  <c r="F45" i="6"/>
  <c r="G45" i="6"/>
  <c r="I45" i="6"/>
  <c r="J16" i="3"/>
  <c r="K16" i="3"/>
  <c r="F44" i="6" l="1"/>
  <c r="G44" i="6"/>
  <c r="I44" i="6"/>
  <c r="J15" i="3"/>
  <c r="K15" i="3"/>
  <c r="F43" i="6"/>
  <c r="G43" i="6"/>
  <c r="I43" i="6"/>
  <c r="F42" i="6" l="1"/>
  <c r="G42" i="6"/>
  <c r="I42" i="6"/>
  <c r="F41" i="6"/>
  <c r="G41" i="6"/>
  <c r="I41" i="6"/>
  <c r="F40" i="6" l="1"/>
  <c r="G40" i="6"/>
  <c r="I40" i="6"/>
  <c r="F39" i="6"/>
  <c r="G39" i="6"/>
  <c r="I39" i="6"/>
  <c r="J14" i="3" l="1"/>
  <c r="K14" i="3"/>
  <c r="F38" i="6"/>
  <c r="G38" i="6"/>
  <c r="I38" i="6"/>
  <c r="F37" i="6"/>
  <c r="G37" i="6"/>
  <c r="I37" i="6"/>
  <c r="F36" i="6" l="1"/>
  <c r="G36" i="6"/>
  <c r="I36" i="6"/>
  <c r="J13" i="3"/>
  <c r="K13" i="3"/>
  <c r="F35" i="6"/>
  <c r="G35" i="6"/>
  <c r="I35" i="6"/>
  <c r="F34" i="6"/>
  <c r="G34" i="6"/>
  <c r="I34" i="6"/>
  <c r="J12" i="3"/>
  <c r="K12" i="3"/>
  <c r="F31" i="6"/>
  <c r="G31" i="6"/>
  <c r="I31" i="6"/>
  <c r="F30" i="6"/>
  <c r="G30" i="6"/>
  <c r="I30" i="6"/>
  <c r="F29" i="6"/>
  <c r="G29" i="6"/>
  <c r="I29" i="6"/>
  <c r="F28" i="6"/>
  <c r="G28" i="6"/>
  <c r="I28" i="6"/>
  <c r="F27" i="6"/>
  <c r="G27" i="6"/>
  <c r="I27" i="6"/>
  <c r="F25" i="6"/>
  <c r="F26" i="6"/>
  <c r="G25" i="6"/>
  <c r="G26" i="6"/>
  <c r="I25" i="6"/>
  <c r="I26" i="6"/>
  <c r="F24" i="6"/>
  <c r="G24" i="6"/>
  <c r="I24" i="6"/>
  <c r="F23" i="6"/>
  <c r="G23" i="6"/>
  <c r="I23" i="6"/>
  <c r="F22" i="6"/>
  <c r="G22" i="6"/>
  <c r="I22" i="6"/>
  <c r="J11" i="3"/>
  <c r="K11" i="3"/>
  <c r="F21" i="6"/>
  <c r="G21" i="6"/>
  <c r="I21" i="6"/>
  <c r="J10" i="3"/>
  <c r="K10" i="3"/>
  <c r="F20" i="6"/>
  <c r="G20" i="6"/>
  <c r="I20" i="6"/>
  <c r="J9" i="3"/>
  <c r="K9" i="3"/>
  <c r="F19" i="6" l="1"/>
  <c r="G19" i="6"/>
  <c r="I19" i="6"/>
  <c r="F18" i="6"/>
  <c r="G18" i="6"/>
  <c r="I18" i="6"/>
  <c r="J8" i="3"/>
  <c r="K8" i="3"/>
  <c r="F33" i="6" l="1"/>
  <c r="G33" i="6"/>
  <c r="I33" i="6"/>
  <c r="F32" i="6"/>
  <c r="G32" i="6"/>
  <c r="I32" i="6"/>
  <c r="F17" i="6"/>
  <c r="G17" i="6"/>
  <c r="I17" i="6"/>
  <c r="F16" i="6"/>
  <c r="G16" i="6"/>
  <c r="I16" i="6"/>
  <c r="F15" i="6"/>
  <c r="G15" i="6"/>
  <c r="I15" i="6"/>
  <c r="F14" i="6"/>
  <c r="G14" i="6"/>
  <c r="I14" i="6"/>
  <c r="J7" i="3"/>
  <c r="K7" i="3"/>
  <c r="J6" i="3"/>
  <c r="K6" i="3"/>
  <c r="F13" i="6"/>
  <c r="G13" i="6"/>
  <c r="I13" i="6"/>
  <c r="F12" i="6"/>
  <c r="G12" i="6"/>
  <c r="I12" i="6"/>
  <c r="F11" i="6"/>
  <c r="G11" i="6"/>
  <c r="I11" i="6"/>
  <c r="F10" i="6"/>
  <c r="G10" i="6"/>
  <c r="I10" i="6"/>
  <c r="F9" i="6"/>
  <c r="G9" i="6"/>
  <c r="I9" i="6"/>
  <c r="J5" i="3"/>
  <c r="K5" i="3"/>
  <c r="F8" i="6"/>
  <c r="G8" i="6"/>
  <c r="I8" i="6"/>
  <c r="F7" i="6"/>
  <c r="G7" i="6"/>
  <c r="I7" i="6"/>
  <c r="J4" i="3"/>
  <c r="K4" i="3"/>
  <c r="F6" i="6"/>
  <c r="G6" i="6"/>
  <c r="I6" i="6"/>
  <c r="F5" i="6"/>
  <c r="G5" i="6"/>
  <c r="I5" i="6"/>
  <c r="F4" i="6"/>
  <c r="G4" i="6"/>
  <c r="I4" i="6"/>
  <c r="J3" i="3"/>
  <c r="K3" i="3"/>
  <c r="F3" i="6"/>
  <c r="G3" i="6"/>
  <c r="I3" i="6"/>
  <c r="F2" i="6"/>
  <c r="G2" i="6"/>
  <c r="I2" i="6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E2" i="1" l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J92" i="6" l="1"/>
  <c r="K93" i="6"/>
  <c r="K92" i="6"/>
  <c r="J93" i="6"/>
  <c r="J91" i="6"/>
  <c r="K90" i="6"/>
  <c r="K91" i="6"/>
  <c r="J90" i="6"/>
  <c r="J89" i="6"/>
  <c r="K89" i="6"/>
  <c r="J88" i="6"/>
  <c r="K88" i="6"/>
  <c r="J87" i="6"/>
  <c r="K87" i="6"/>
  <c r="J86" i="6"/>
  <c r="K86" i="6"/>
  <c r="J85" i="6"/>
  <c r="K85" i="6"/>
  <c r="J84" i="6"/>
  <c r="K84" i="6"/>
  <c r="J83" i="6"/>
  <c r="K83" i="6"/>
  <c r="J82" i="6"/>
  <c r="K82" i="6"/>
  <c r="K81" i="6"/>
  <c r="J81" i="6"/>
  <c r="J79" i="6"/>
  <c r="K80" i="6"/>
  <c r="J80" i="6"/>
  <c r="K79" i="6"/>
  <c r="K78" i="6"/>
  <c r="J78" i="6"/>
  <c r="K77" i="6"/>
  <c r="K76" i="6"/>
  <c r="J77" i="6"/>
  <c r="J76" i="6"/>
  <c r="K74" i="6"/>
  <c r="J74" i="6"/>
  <c r="J75" i="6"/>
  <c r="K75" i="6"/>
  <c r="J73" i="6"/>
  <c r="J72" i="6"/>
  <c r="K73" i="6"/>
  <c r="K72" i="6"/>
  <c r="J71" i="6"/>
  <c r="K69" i="6"/>
  <c r="J68" i="6"/>
  <c r="K68" i="6"/>
  <c r="K71" i="6"/>
  <c r="J67" i="6"/>
  <c r="K67" i="6"/>
  <c r="J70" i="6"/>
  <c r="K70" i="6"/>
  <c r="J69" i="6"/>
  <c r="G2" i="1"/>
  <c r="K66" i="6"/>
  <c r="J66" i="6"/>
  <c r="K62" i="6"/>
  <c r="K63" i="6"/>
  <c r="J65" i="6"/>
  <c r="K65" i="6"/>
  <c r="J64" i="6"/>
  <c r="K64" i="6"/>
  <c r="J62" i="6"/>
  <c r="J63" i="6"/>
  <c r="K61" i="6"/>
  <c r="J61" i="6"/>
  <c r="K60" i="6"/>
  <c r="J60" i="6"/>
  <c r="J59" i="6"/>
  <c r="K59" i="6"/>
  <c r="J58" i="6"/>
  <c r="K58" i="6"/>
  <c r="J57" i="6"/>
  <c r="K57" i="6"/>
  <c r="K56" i="6"/>
  <c r="J56" i="6"/>
  <c r="J55" i="6"/>
  <c r="K55" i="6"/>
  <c r="J54" i="6"/>
  <c r="K53" i="6"/>
  <c r="K54" i="6"/>
  <c r="J52" i="6"/>
  <c r="K52" i="6"/>
  <c r="K51" i="6"/>
  <c r="K50" i="6"/>
  <c r="J53" i="6"/>
  <c r="J50" i="6"/>
  <c r="J51" i="6"/>
  <c r="J49" i="6"/>
  <c r="K49" i="6"/>
  <c r="B23" i="1"/>
  <c r="B15" i="1"/>
  <c r="B14" i="1"/>
  <c r="B13" i="1"/>
  <c r="B12" i="1"/>
  <c r="B10" i="1"/>
  <c r="B9" i="1"/>
  <c r="B29" i="1"/>
  <c r="B6" i="1"/>
  <c r="B26" i="1"/>
  <c r="B4" i="1"/>
  <c r="B24" i="1"/>
  <c r="B22" i="1"/>
  <c r="B21" i="1"/>
  <c r="B20" i="1"/>
  <c r="B19" i="1"/>
  <c r="B18" i="1"/>
  <c r="B17" i="1"/>
  <c r="B16" i="1"/>
  <c r="B11" i="1"/>
  <c r="B8" i="1"/>
  <c r="B7" i="1"/>
  <c r="B28" i="1"/>
  <c r="B27" i="1"/>
  <c r="B5" i="1"/>
  <c r="B25" i="1"/>
  <c r="B3" i="1"/>
  <c r="B2" i="1"/>
  <c r="J48" i="6"/>
  <c r="J47" i="6"/>
  <c r="K47" i="6"/>
  <c r="K48" i="6"/>
  <c r="J46" i="6"/>
  <c r="K46" i="6"/>
  <c r="J45" i="6"/>
  <c r="K45" i="6"/>
  <c r="J44" i="6"/>
  <c r="K44" i="6"/>
  <c r="K43" i="6"/>
  <c r="J43" i="6"/>
  <c r="J42" i="6"/>
  <c r="K42" i="6"/>
  <c r="K41" i="6"/>
  <c r="J41" i="6"/>
  <c r="K39" i="6"/>
  <c r="J40" i="6"/>
  <c r="K40" i="6"/>
  <c r="J39" i="6"/>
  <c r="J38" i="6"/>
  <c r="K38" i="6"/>
  <c r="J37" i="6"/>
  <c r="K37" i="6"/>
  <c r="K36" i="6"/>
  <c r="J36" i="6"/>
  <c r="J35" i="6"/>
  <c r="K35" i="6"/>
  <c r="J34" i="6"/>
  <c r="K34" i="6"/>
  <c r="J31" i="6"/>
  <c r="K31" i="6"/>
  <c r="J30" i="6"/>
  <c r="K30" i="6"/>
  <c r="J29" i="6"/>
  <c r="K29" i="6"/>
  <c r="J28" i="6"/>
  <c r="K28" i="6"/>
  <c r="J27" i="6"/>
  <c r="K27" i="6"/>
  <c r="J25" i="6"/>
  <c r="J26" i="6"/>
  <c r="K25" i="6"/>
  <c r="K26" i="6"/>
  <c r="J24" i="6"/>
  <c r="K24" i="6"/>
  <c r="J23" i="6"/>
  <c r="K23" i="6"/>
  <c r="K22" i="6"/>
  <c r="J22" i="6"/>
  <c r="K21" i="6"/>
  <c r="J21" i="6"/>
  <c r="J20" i="6"/>
  <c r="K20" i="6"/>
  <c r="K19" i="6"/>
  <c r="J19" i="6"/>
  <c r="J18" i="6"/>
  <c r="K18" i="6"/>
  <c r="J33" i="6"/>
  <c r="K33" i="6"/>
  <c r="J32" i="6"/>
  <c r="K32" i="6"/>
  <c r="E22" i="10"/>
  <c r="E7" i="10"/>
  <c r="E29" i="10"/>
  <c r="J16" i="6"/>
  <c r="E8" i="10"/>
  <c r="K16" i="6"/>
  <c r="E9" i="10"/>
  <c r="E10" i="10"/>
  <c r="E11" i="10"/>
  <c r="E12" i="10"/>
  <c r="J15" i="6"/>
  <c r="E13" i="10"/>
  <c r="K15" i="6"/>
  <c r="E14" i="10"/>
  <c r="E15" i="10"/>
  <c r="E16" i="10"/>
  <c r="E17" i="10"/>
  <c r="J14" i="6"/>
  <c r="E18" i="10"/>
  <c r="K14" i="6"/>
  <c r="E19" i="10"/>
  <c r="E20" i="10"/>
  <c r="E21" i="10"/>
  <c r="E23" i="10"/>
  <c r="E2" i="10"/>
  <c r="E24" i="10"/>
  <c r="J17" i="6"/>
  <c r="E3" i="10"/>
  <c r="E25" i="10"/>
  <c r="K17" i="6"/>
  <c r="E4" i="10"/>
  <c r="E26" i="10"/>
  <c r="E5" i="10"/>
  <c r="E27" i="10"/>
  <c r="E6" i="10"/>
  <c r="E28" i="10"/>
  <c r="K13" i="6"/>
  <c r="J12" i="6"/>
  <c r="K12" i="6"/>
  <c r="J13" i="6"/>
  <c r="K11" i="6"/>
  <c r="J11" i="6"/>
  <c r="D2" i="10"/>
  <c r="C2" i="10"/>
  <c r="B2" i="10"/>
  <c r="D3" i="10"/>
  <c r="D25" i="10"/>
  <c r="C19" i="10"/>
  <c r="B13" i="10"/>
  <c r="D4" i="10"/>
  <c r="D26" i="10"/>
  <c r="C20" i="10"/>
  <c r="B14" i="10"/>
  <c r="D5" i="10"/>
  <c r="D27" i="10"/>
  <c r="C21" i="10"/>
  <c r="B15" i="10"/>
  <c r="D6" i="10"/>
  <c r="D28" i="10"/>
  <c r="C22" i="10"/>
  <c r="B16" i="10"/>
  <c r="D7" i="10"/>
  <c r="D29" i="10"/>
  <c r="C23" i="10"/>
  <c r="B17" i="10"/>
  <c r="D8" i="10"/>
  <c r="C24" i="10"/>
  <c r="B18" i="10"/>
  <c r="D9" i="10"/>
  <c r="C3" i="10"/>
  <c r="C25" i="10"/>
  <c r="B19" i="10"/>
  <c r="D10" i="10"/>
  <c r="C4" i="10"/>
  <c r="C26" i="10"/>
  <c r="B20" i="10"/>
  <c r="J10" i="6"/>
  <c r="D11" i="10"/>
  <c r="C5" i="10"/>
  <c r="C27" i="10"/>
  <c r="B21" i="10"/>
  <c r="K10" i="6"/>
  <c r="D12" i="10"/>
  <c r="C6" i="10"/>
  <c r="C28" i="10"/>
  <c r="B22" i="10"/>
  <c r="D13" i="10"/>
  <c r="C7" i="10"/>
  <c r="C29" i="10"/>
  <c r="B23" i="10"/>
  <c r="D14" i="10"/>
  <c r="C8" i="10"/>
  <c r="B24" i="10"/>
  <c r="D15" i="10"/>
  <c r="C9" i="10"/>
  <c r="B3" i="10"/>
  <c r="B25" i="10"/>
  <c r="J9" i="6"/>
  <c r="D16" i="10"/>
  <c r="C10" i="10"/>
  <c r="B4" i="10"/>
  <c r="B26" i="10"/>
  <c r="K9" i="6"/>
  <c r="D17" i="10"/>
  <c r="C11" i="10"/>
  <c r="B5" i="10"/>
  <c r="B27" i="10"/>
  <c r="D18" i="10"/>
  <c r="C12" i="10"/>
  <c r="B6" i="10"/>
  <c r="B28" i="10"/>
  <c r="D21" i="10"/>
  <c r="D22" i="10"/>
  <c r="D23" i="10"/>
  <c r="D24" i="10"/>
  <c r="C13" i="10"/>
  <c r="C14" i="10"/>
  <c r="C15" i="10"/>
  <c r="C16" i="10"/>
  <c r="C17" i="10"/>
  <c r="C18" i="10"/>
  <c r="B7" i="10"/>
  <c r="B8" i="10"/>
  <c r="B9" i="10"/>
  <c r="B10" i="10"/>
  <c r="B11" i="10"/>
  <c r="B12" i="10"/>
  <c r="B29" i="10"/>
  <c r="D19" i="10"/>
  <c r="D20" i="10"/>
  <c r="K7" i="6"/>
  <c r="K8" i="6"/>
  <c r="J8" i="6"/>
  <c r="J7" i="6"/>
  <c r="J6" i="6"/>
  <c r="K6" i="6"/>
  <c r="J5" i="6"/>
  <c r="K5" i="6"/>
  <c r="K2" i="6"/>
  <c r="K3" i="6"/>
  <c r="K4" i="6"/>
  <c r="J2" i="6"/>
  <c r="J4" i="6"/>
  <c r="J3" i="6"/>
  <c r="F20" i="1"/>
  <c r="H20" i="1" s="1"/>
  <c r="F19" i="1"/>
  <c r="H19" i="1" s="1"/>
  <c r="F18" i="1"/>
  <c r="H18" i="1" s="1"/>
  <c r="F3" i="1"/>
  <c r="H3" i="1" s="1"/>
  <c r="F22" i="1"/>
  <c r="H22" i="1" s="1"/>
  <c r="F12" i="1"/>
  <c r="H12" i="1" s="1"/>
  <c r="F13" i="1"/>
  <c r="H13" i="1" s="1"/>
  <c r="F17" i="1"/>
  <c r="H17" i="1" s="1"/>
  <c r="F11" i="1"/>
  <c r="H11" i="1" s="1"/>
  <c r="F15" i="1"/>
  <c r="H15" i="1" s="1"/>
  <c r="F14" i="1"/>
  <c r="H14" i="1" s="1"/>
  <c r="F4" i="1"/>
  <c r="H4" i="1" s="1"/>
  <c r="F23" i="1"/>
  <c r="H23" i="1" s="1"/>
  <c r="F16" i="1"/>
  <c r="H16" i="1" s="1"/>
  <c r="F10" i="1"/>
  <c r="H10" i="1" s="1"/>
  <c r="F7" i="1"/>
  <c r="H7" i="1" s="1"/>
  <c r="F6" i="1"/>
  <c r="H6" i="1" s="1"/>
  <c r="F5" i="1"/>
  <c r="H5" i="1" s="1"/>
  <c r="F21" i="1"/>
  <c r="H21" i="1" s="1"/>
  <c r="F26" i="1"/>
  <c r="H26" i="1" s="1"/>
  <c r="F25" i="1"/>
  <c r="H25" i="1" s="1"/>
  <c r="F24" i="1"/>
  <c r="H24" i="1" s="1"/>
  <c r="F9" i="1"/>
  <c r="H9" i="1" s="1"/>
  <c r="F8" i="1"/>
  <c r="H8" i="1" s="1"/>
  <c r="F29" i="1"/>
  <c r="H29" i="1" s="1"/>
  <c r="F27" i="1"/>
  <c r="H27" i="1" s="1"/>
  <c r="F28" i="1"/>
  <c r="H28" i="1" s="1"/>
  <c r="F2" i="1"/>
  <c r="K2" i="3"/>
  <c r="H2" i="1" l="1"/>
  <c r="J2" i="3"/>
</calcChain>
</file>

<file path=xl/sharedStrings.xml><?xml version="1.0" encoding="utf-8"?>
<sst xmlns="http://schemas.openxmlformats.org/spreadsheetml/2006/main" count="1236" uniqueCount="491">
  <si>
    <t>Pendent</t>
  </si>
  <si>
    <t>Dual int.</t>
  </si>
  <si>
    <t>Dual gen.</t>
  </si>
  <si>
    <t>Nom contacte</t>
  </si>
  <si>
    <t>Correu electrònic</t>
  </si>
  <si>
    <t>Altres</t>
  </si>
  <si>
    <t>Adreça</t>
  </si>
  <si>
    <t>#</t>
  </si>
  <si>
    <t>Nom</t>
  </si>
  <si>
    <t>Empresa</t>
  </si>
  <si>
    <t>Cognoms</t>
  </si>
  <si>
    <t>DNI/NIE/Passaport</t>
  </si>
  <si>
    <t>Data Naixement</t>
  </si>
  <si>
    <t>Telèfon #1</t>
  </si>
  <si>
    <t>Marc</t>
  </si>
  <si>
    <t>Dídac</t>
  </si>
  <si>
    <t>David</t>
  </si>
  <si>
    <t>Biel</t>
  </si>
  <si>
    <t>Joan</t>
  </si>
  <si>
    <t>Iván</t>
  </si>
  <si>
    <t>Sense empresa</t>
  </si>
  <si>
    <t>Inici</t>
  </si>
  <si>
    <t>Fi</t>
  </si>
  <si>
    <t>Hores</t>
  </si>
  <si>
    <t>Edat</t>
  </si>
  <si>
    <t>Observacions</t>
  </si>
  <si>
    <t>Pendent convalidació</t>
  </si>
  <si>
    <t>Pendent Dual gen.</t>
  </si>
  <si>
    <t>Pendent Dual int.</t>
  </si>
  <si>
    <t>Convalidació</t>
  </si>
  <si>
    <t>Etiquetes de fila</t>
  </si>
  <si>
    <t>Total general</t>
  </si>
  <si>
    <t>Recompte de Nom</t>
  </si>
  <si>
    <t>Nom sencer</t>
  </si>
  <si>
    <t>Telèfon</t>
  </si>
  <si>
    <t>Entrevista Dual gen.</t>
  </si>
  <si>
    <t>Entrevista Dual int.</t>
  </si>
  <si>
    <t>N.I.F / .N.I.E</t>
  </si>
  <si>
    <t>1r. Cognom</t>
  </si>
  <si>
    <t>2n. Cognom</t>
  </si>
  <si>
    <t>C.P.</t>
  </si>
  <si>
    <t>E-mail (@sarria.salesians.cat)</t>
  </si>
  <si>
    <t>Data de Naixement</t>
  </si>
  <si>
    <t/>
  </si>
  <si>
    <t>González</t>
  </si>
  <si>
    <t>Martínez</t>
  </si>
  <si>
    <t>TS</t>
  </si>
  <si>
    <t>SS</t>
  </si>
  <si>
    <t>Tipus</t>
  </si>
  <si>
    <t>Ok</t>
  </si>
  <si>
    <t>Pendent contracte associat</t>
  </si>
  <si>
    <t>Contracte associat</t>
  </si>
  <si>
    <t># Alum.</t>
  </si>
  <si>
    <t>Pendent DualSigner</t>
  </si>
  <si>
    <t>Pendent Conveni</t>
  </si>
  <si>
    <t>Telèfon #2</t>
  </si>
  <si>
    <t>Data</t>
  </si>
  <si>
    <t>Alumne</t>
  </si>
  <si>
    <t>Comentari</t>
  </si>
  <si>
    <t>Seleccionat</t>
  </si>
  <si>
    <t># Contactes</t>
  </si>
  <si>
    <t>Empresa enviada</t>
  </si>
  <si>
    <t>Env</t>
  </si>
  <si>
    <t>Estat</t>
  </si>
  <si>
    <t>Nota Empresa</t>
  </si>
  <si>
    <t>DNI Tutor</t>
  </si>
  <si>
    <t>Pràctiques finalitzades</t>
  </si>
  <si>
    <t>Obs</t>
  </si>
  <si>
    <t>Nom Empresa</t>
  </si>
  <si>
    <t>Xerrada de seguiment</t>
  </si>
  <si>
    <t>Aguayo Barrientos</t>
  </si>
  <si>
    <t>Jose Wigberto</t>
  </si>
  <si>
    <t>Aguayo Barrientos, Jose Wigberto</t>
  </si>
  <si>
    <t>Almendros García</t>
  </si>
  <si>
    <t>Javier</t>
  </si>
  <si>
    <t>Almendros García, Javier</t>
  </si>
  <si>
    <t>Barrios López</t>
  </si>
  <si>
    <t>Barrios López, Iván</t>
  </si>
  <si>
    <t>Benítes Zambrano</t>
  </si>
  <si>
    <t>Benítes Zambrano, David</t>
  </si>
  <si>
    <t>Bonfil Valldeperas</t>
  </si>
  <si>
    <t>Arnau</t>
  </si>
  <si>
    <t>Bonfil Valldeperas, Arnau</t>
  </si>
  <si>
    <t>Camps Atmetller</t>
  </si>
  <si>
    <t>Jan</t>
  </si>
  <si>
    <t>Camps Atmetller, Jan</t>
  </si>
  <si>
    <t>Cebrián Piñeiro</t>
  </si>
  <si>
    <t>Rocco</t>
  </si>
  <si>
    <t>Cebrián Piñeiro, Rocco</t>
  </si>
  <si>
    <t>Chavero Grande</t>
  </si>
  <si>
    <t>Pau</t>
  </si>
  <si>
    <t>Chavero Grande, Pau</t>
  </si>
  <si>
    <t>Mario</t>
  </si>
  <si>
    <t>Corbelle Padin</t>
  </si>
  <si>
    <t>Iago</t>
  </si>
  <si>
    <t>Corbelle Padin, Iago</t>
  </si>
  <si>
    <t>Dublanche</t>
  </si>
  <si>
    <t>Alexis Stéphane Fran</t>
  </si>
  <si>
    <t>Dublanche, Alexis Stéphane Fran</t>
  </si>
  <si>
    <t>Espejo Martínez</t>
  </si>
  <si>
    <t>Ivan</t>
  </si>
  <si>
    <t>Espejo Martínez, Ivan</t>
  </si>
  <si>
    <t>Farré Marín</t>
  </si>
  <si>
    <t>Farré Marín, Joan</t>
  </si>
  <si>
    <t>Fernandes Teixeira</t>
  </si>
  <si>
    <t>Sebastian Samuel</t>
  </si>
  <si>
    <t>Fernandes Teixeira, Sebastian Samuel</t>
  </si>
  <si>
    <t>Gallego Pérez</t>
  </si>
  <si>
    <t>Gallego Pérez, Dídac</t>
  </si>
  <si>
    <t>Guerra Alberti</t>
  </si>
  <si>
    <t>Edgar</t>
  </si>
  <si>
    <t>Guerra Alberti, Edgar</t>
  </si>
  <si>
    <t>Guillamon Uzñate</t>
  </si>
  <si>
    <t>Guillamon Uzñate, Arnau</t>
  </si>
  <si>
    <t>Jurado Borrell</t>
  </si>
  <si>
    <t>Hugo</t>
  </si>
  <si>
    <t>Jurado Borrell, Hugo</t>
  </si>
  <si>
    <t>Lucas Jerez</t>
  </si>
  <si>
    <t>Hector</t>
  </si>
  <si>
    <t>Lucas Jerez, Hector</t>
  </si>
  <si>
    <t>Miller Villalobos</t>
  </si>
  <si>
    <t>Sheila</t>
  </si>
  <si>
    <t>Miller Villalobos, Sheila</t>
  </si>
  <si>
    <t>Miravete Núñez</t>
  </si>
  <si>
    <t>Tristan</t>
  </si>
  <si>
    <t>Miravete Núñez, Tristan</t>
  </si>
  <si>
    <t>Pérez Hernando</t>
  </si>
  <si>
    <t>Álvaro</t>
  </si>
  <si>
    <t>Pérez Hernando, Álvaro</t>
  </si>
  <si>
    <t>Pesado Flores</t>
  </si>
  <si>
    <t>Samuel</t>
  </si>
  <si>
    <t>Pesado Flores, Samuel</t>
  </si>
  <si>
    <t>Ricote Fernández</t>
  </si>
  <si>
    <t>Ricote Fernández, Marc</t>
  </si>
  <si>
    <t>Rodríguez González</t>
  </si>
  <si>
    <t>Rodríguez González, Mario</t>
  </si>
  <si>
    <t>Sánchez Herrera</t>
  </si>
  <si>
    <t>Andres Mauricio</t>
  </si>
  <si>
    <t>Sánchez Herrera, Andres Mauricio</t>
  </si>
  <si>
    <t>Simarro González</t>
  </si>
  <si>
    <t>Izan</t>
  </si>
  <si>
    <t>Simarro González, Izan</t>
  </si>
  <si>
    <t>Xu</t>
  </si>
  <si>
    <t>Montserrat</t>
  </si>
  <si>
    <t>Xu, Montserrat</t>
  </si>
  <si>
    <t>Xufré Prieto</t>
  </si>
  <si>
    <t>Xufré Prieto, Biel</t>
  </si>
  <si>
    <t>47593525Q</t>
  </si>
  <si>
    <t>48143710H</t>
  </si>
  <si>
    <t>48096252D</t>
  </si>
  <si>
    <t>23867160Z</t>
  </si>
  <si>
    <t>48214499J</t>
  </si>
  <si>
    <t>49820745P</t>
  </si>
  <si>
    <t>39479024F</t>
  </si>
  <si>
    <t>45182681D</t>
  </si>
  <si>
    <t>Y4571921H</t>
  </si>
  <si>
    <t>47264213H</t>
  </si>
  <si>
    <t>48073477G</t>
  </si>
  <si>
    <t>Y5172222L</t>
  </si>
  <si>
    <t>49931779K</t>
  </si>
  <si>
    <t>39403670R</t>
  </si>
  <si>
    <t>49782841P</t>
  </si>
  <si>
    <t>23926317S</t>
  </si>
  <si>
    <t>49287946G</t>
  </si>
  <si>
    <t>49184848S</t>
  </si>
  <si>
    <t>51289091B</t>
  </si>
  <si>
    <t>48143661S</t>
  </si>
  <si>
    <t>49550677Y</t>
  </si>
  <si>
    <t>49323013L</t>
  </si>
  <si>
    <t>55654151Q</t>
  </si>
  <si>
    <t>26060226F</t>
  </si>
  <si>
    <t>X9833125G</t>
  </si>
  <si>
    <t>49531031W</t>
  </si>
  <si>
    <t>jw.aguayo.25@sarria.salesians.cat</t>
  </si>
  <si>
    <t>javier.almendros@sarria.salesians.cat</t>
  </si>
  <si>
    <t>ivan.barrios@sarria.salesians.cat</t>
  </si>
  <si>
    <t>david.benites@sarria.salesians.cat</t>
  </si>
  <si>
    <t>arnau.bonfil@sarria.salesians.cat</t>
  </si>
  <si>
    <t>jan.camps@sarria.salesians.cat</t>
  </si>
  <si>
    <t>rocco.cebrian@sarria.salesians.cat</t>
  </si>
  <si>
    <t>pau.chavero@sarria.salesians.cat</t>
  </si>
  <si>
    <t>iago.corbelle@sarria.salesians.cat</t>
  </si>
  <si>
    <t>asf.dublanche@sarria.salesians.cat</t>
  </si>
  <si>
    <t>ivan.espejo@sarria.salesians.cat</t>
  </si>
  <si>
    <t>joan.farre.25@sarria.salesians.cat</t>
  </si>
  <si>
    <t>ss.fernandes@sarria.salesians.cat</t>
  </si>
  <si>
    <t>didac.gallego@sarria.salesians.cat</t>
  </si>
  <si>
    <t>edgar.guerra.25@sarria.salesians.cat</t>
  </si>
  <si>
    <t>arnau.guillamon@sarria.salesians.cat</t>
  </si>
  <si>
    <t>hugo.jurado@sarria.salesians.cat</t>
  </si>
  <si>
    <t>hector.lucas@sarria.salesians.cat</t>
  </si>
  <si>
    <t>sheila.miller.25@sarria.salesians.cat</t>
  </si>
  <si>
    <t>tristan.miravete@sarria.salesians.cat</t>
  </si>
  <si>
    <t>alvaro.perez@sarria.salesians.cat</t>
  </si>
  <si>
    <t>samuel.pesado@sarria.salesians.cat</t>
  </si>
  <si>
    <t>marc.ricote@sarria.salesians.cat</t>
  </si>
  <si>
    <t>mario.rodriguez@sarria.salesians.cat</t>
  </si>
  <si>
    <t>am.sanchez.25@sarria.salesians.cat</t>
  </si>
  <si>
    <t>izan.simarro@sarria.salesians.cat</t>
  </si>
  <si>
    <t>montserrat.xu@sarria.salesians.cat</t>
  </si>
  <si>
    <t>biel.xufre.25@sarria.salesians.cat</t>
  </si>
  <si>
    <t>CP</t>
  </si>
  <si>
    <t>CV - Enviat</t>
  </si>
  <si>
    <t>CV - Rebutjat</t>
  </si>
  <si>
    <t>Conveni - Alta</t>
  </si>
  <si>
    <t>Conveni - Baixa</t>
  </si>
  <si>
    <t>Conveni - Modificació</t>
  </si>
  <si>
    <t>Enviament correu - Contactar en un futur</t>
  </si>
  <si>
    <t>Enviament correu - Contacte inicial</t>
  </si>
  <si>
    <t>Enviament correu - Curriculums</t>
  </si>
  <si>
    <t>Enviament correu - Document registre empresa</t>
  </si>
  <si>
    <t>Enviament correu - Petició documentació per l'exempció</t>
  </si>
  <si>
    <t>Reunió programada</t>
  </si>
  <si>
    <t>Nom Tutor</t>
  </si>
  <si>
    <t>Correu Tutor</t>
  </si>
  <si>
    <t>(en blanc)</t>
  </si>
  <si>
    <t>Idiomes</t>
  </si>
  <si>
    <t>No assig.</t>
  </si>
  <si>
    <t>Marca de temps</t>
  </si>
  <si>
    <t>Adreça electrònica</t>
  </si>
  <si>
    <t>Grup</t>
  </si>
  <si>
    <t>Població</t>
  </si>
  <si>
    <t>Any Escolar</t>
  </si>
  <si>
    <t>S1SX ( Administració de Sistemes Informàtics en Xarxa )</t>
  </si>
  <si>
    <t>Bonfil</t>
  </si>
  <si>
    <t>Valldeperas</t>
  </si>
  <si>
    <t>Carrer d'Amadeu Vives 15 1r 3ra</t>
  </si>
  <si>
    <t>Esparreguera</t>
  </si>
  <si>
    <t>BOVA 0 070917 00 3</t>
  </si>
  <si>
    <t>2025-2026</t>
  </si>
  <si>
    <t>M’interessaria molt poder realitzar les pràctiques DUAL intensives, ja que considero que són una bona oportunitat per ampliar el meu currículum, adquirir experiència professional i poder compaginar la formació amb una remuneració.
Crec que soc una persona adequada per al lloc, ja que sempre intento donar el millor de mi, tinc bona capacitat de comunicació i facilitat per treballar en equip.
També m’agradaria poder fer més hores de pràctiques amb l’objectiu de tenir continuïtat a l’empresa en el futur mentre cursi els estudis universitaris.</t>
  </si>
  <si>
    <t>Jurado</t>
  </si>
  <si>
    <t>Borrell</t>
  </si>
  <si>
    <t>Avinguda de Josep Ferrer i Domingo, 4</t>
  </si>
  <si>
    <t>Rubí</t>
  </si>
  <si>
    <t>JUBO 0 070321 00 5</t>
  </si>
  <si>
    <t>Simarro</t>
  </si>
  <si>
    <t>Gonzalez</t>
  </si>
  <si>
    <t>Carrer Gernika, 1-5, 6º 4</t>
  </si>
  <si>
    <t>Barcelona</t>
  </si>
  <si>
    <t>Guerra</t>
  </si>
  <si>
    <t>Alberti</t>
  </si>
  <si>
    <t>Rambla Badal 36, 5-2, Escalera B</t>
  </si>
  <si>
    <t>DUAL Intensiva</t>
  </si>
  <si>
    <t>Chavero</t>
  </si>
  <si>
    <t>Grande</t>
  </si>
  <si>
    <t>Carrer del japò 29 2-2</t>
  </si>
  <si>
    <t>Corbelle</t>
  </si>
  <si>
    <t>Padín</t>
  </si>
  <si>
    <t>Av 300 n83</t>
  </si>
  <si>
    <t>Castelldefels</t>
  </si>
  <si>
    <t>m'agradaria gaudir de l'oportunitat d'aprendre de la millor manera possible de la dual intensiva per recollir tots els coneixements possibles que m'ofereixin millor desenvolupament de cara a futur a la meva feina o universitat</t>
  </si>
  <si>
    <t>Espejo</t>
  </si>
  <si>
    <t>Carrer Igualtat 51-53 1rA Esc.Izq</t>
  </si>
  <si>
    <t>L'Hospitalet de Llobregat</t>
  </si>
  <si>
    <t>Preferiblement m'agradaria anar a la dual intensiva, tant sigui a prop de la meva població, o més a prop del cole.</t>
  </si>
  <si>
    <t>almendros</t>
  </si>
  <si>
    <t>garcia</t>
  </si>
  <si>
    <t>javier</t>
  </si>
  <si>
    <t>carretera reial 79</t>
  </si>
  <si>
    <t>me gastaría la dual intensiva y quiero ir a la uni</t>
  </si>
  <si>
    <t>Farre</t>
  </si>
  <si>
    <t>Marin</t>
  </si>
  <si>
    <t>C: Ma Aurelia Capmany 18, 1-1</t>
  </si>
  <si>
    <t>Cornella De Llobregat</t>
  </si>
  <si>
    <t>FAMA 0 060306 00 2</t>
  </si>
  <si>
    <t>Benites</t>
  </si>
  <si>
    <t>Zambrano</t>
  </si>
  <si>
    <t>Rambla de Mercedes, 14</t>
  </si>
  <si>
    <t>Intensiva</t>
  </si>
  <si>
    <t>Pérez</t>
  </si>
  <si>
    <t>Hernando</t>
  </si>
  <si>
    <t>Carrer Enric Prat de la Riba, 43</t>
  </si>
  <si>
    <t>Gelida</t>
  </si>
  <si>
    <t>PEHE 0 061114 00 1</t>
  </si>
  <si>
    <t>Vull convalidar Práctiques</t>
  </si>
  <si>
    <t>Barrios</t>
  </si>
  <si>
    <t>López</t>
  </si>
  <si>
    <t>C/Salvador Allende, 7-11</t>
  </si>
  <si>
    <t>Sant Vicenç desl Horts</t>
  </si>
  <si>
    <t>M'agradaría fer dual intesiva perque hauré de deixar de treballar i la intesiva es la unica que paguen</t>
  </si>
  <si>
    <t>Camps</t>
  </si>
  <si>
    <t>Atmetller</t>
  </si>
  <si>
    <t>Carrer Sant Jaume nº 31</t>
  </si>
  <si>
    <t>CAAT 0 070606 01 5</t>
  </si>
  <si>
    <t>En aquests moments estic treballant en una empresa a l’àrea d’informàtica i m’agradaria poder fer les pràctiques duals al mateix lloc de treball, ja que està relacionat amb els estudis que estic cursant.</t>
  </si>
  <si>
    <t>Miller</t>
  </si>
  <si>
    <t>Villalobos</t>
  </si>
  <si>
    <t>Carrer Mineria 1, esc.A, pis 5, porta 8</t>
  </si>
  <si>
    <t>MIVI 1 070828 00 6</t>
  </si>
  <si>
    <t>Lucas</t>
  </si>
  <si>
    <t>Jerez</t>
  </si>
  <si>
    <t>Carrer Ullastrell, 38 08630 Abrera, Barcelona</t>
  </si>
  <si>
    <t>Abrera</t>
  </si>
  <si>
    <t>Quiero ir a universidad, DUAL</t>
  </si>
  <si>
    <t>Ricote</t>
  </si>
  <si>
    <t>Fernández</t>
  </si>
  <si>
    <t>Passeig de la zona franca 208, ESC IZQ ATCO 2</t>
  </si>
  <si>
    <t>Quiero dual intensiva. Hare universidad al acabar el ciclo.</t>
  </si>
  <si>
    <t>49531031w</t>
  </si>
  <si>
    <t>Xufré</t>
  </si>
  <si>
    <t>Prieto</t>
  </si>
  <si>
    <t>Carre Sant Joan 39</t>
  </si>
  <si>
    <t>XUPR 0 070929 00 4</t>
  </si>
  <si>
    <t>Pesado</t>
  </si>
  <si>
    <t>Flores</t>
  </si>
  <si>
    <t>cami de can oriol</t>
  </si>
  <si>
    <t>PEFL 0 071010 00 3</t>
  </si>
  <si>
    <t>Guillamon</t>
  </si>
  <si>
    <t>Uzñate</t>
  </si>
  <si>
    <t>Joana Raspall 11</t>
  </si>
  <si>
    <t>Sant Feliu de Llobregat</t>
  </si>
  <si>
    <t>GUUZ 0 061212 00 3</t>
  </si>
  <si>
    <t>M’agradaria fer la DUAL intensiva, si és possible, ja que l’any passat la vaig poder experimentar i va ser una experiència meravellosa, i m’agradaria, si fos possible, repetir-la.</t>
  </si>
  <si>
    <t>Cebrián</t>
  </si>
  <si>
    <t>Piñeiro</t>
  </si>
  <si>
    <t>Carolina catasus i bosch</t>
  </si>
  <si>
    <t>CEPI 0 071023 00 5</t>
  </si>
  <si>
    <t>prefiero la general, pero a poder ser prefiero hacerlas durante el segundo año del grado</t>
  </si>
  <si>
    <t>Miravete</t>
  </si>
  <si>
    <t>Núñez</t>
  </si>
  <si>
    <t>Carrer Calabria 33 5,2</t>
  </si>
  <si>
    <t>MINU 0 040603 00 4</t>
  </si>
  <si>
    <t>54331383Q</t>
  </si>
  <si>
    <t>Rodríguez</t>
  </si>
  <si>
    <t>Carrer San Sebastián 110, Sant Cugat del Vallès</t>
  </si>
  <si>
    <t>Sant Cugat del Vallès</t>
  </si>
  <si>
    <t>ROGO 0 060904 00 3</t>
  </si>
  <si>
    <t>Sanchez</t>
  </si>
  <si>
    <t>Herrera</t>
  </si>
  <si>
    <t>andyvmpier@gmail.com</t>
  </si>
  <si>
    <t>XU</t>
  </si>
  <si>
    <t>Montse</t>
  </si>
  <si>
    <t>Pl. d'Europa, 14, 15A</t>
  </si>
  <si>
    <t>-</t>
  </si>
  <si>
    <t>Alexis Stéphane François</t>
  </si>
  <si>
    <t>Carrer del Dipòsit, 6</t>
  </si>
  <si>
    <t>Fernandes</t>
  </si>
  <si>
    <t>Teixeira</t>
  </si>
  <si>
    <t>Sebastian</t>
  </si>
  <si>
    <t>Avinguda del Puig de Rimila 10</t>
  </si>
  <si>
    <t>Z3653609H</t>
  </si>
  <si>
    <t>AGUAYO</t>
  </si>
  <si>
    <t>BARRIENTOS</t>
  </si>
  <si>
    <t>JOSE WIGBERTO</t>
  </si>
  <si>
    <t>BV-2041 KM 3.5 GAVA</t>
  </si>
  <si>
    <t>GAVA</t>
  </si>
  <si>
    <t>Número de la Seguretat Social me lo sacaran luego</t>
  </si>
  <si>
    <t>ALGA 0 070320 00 2</t>
  </si>
  <si>
    <t>Tel. Tutor</t>
  </si>
  <si>
    <t>AGBA 0 070813 00 9</t>
  </si>
  <si>
    <t>BALO 0 070313 00 9</t>
  </si>
  <si>
    <t>BEZA 0 051207 00 7</t>
  </si>
  <si>
    <t>CHGR 0 061227 00 5</t>
  </si>
  <si>
    <t>COPA 0 070728 00 9</t>
  </si>
  <si>
    <t>DUBL 0 061024 00 9</t>
  </si>
  <si>
    <t>ESMA 0 060117 00 9</t>
  </si>
  <si>
    <t>FETE 0 050426 00 4</t>
  </si>
  <si>
    <t>GUAL 0 940202 00 2</t>
  </si>
  <si>
    <t>LUJE 0 070625 00 5</t>
  </si>
  <si>
    <t>RIFE 0 070719 00 5</t>
  </si>
  <si>
    <t>SAHE 0 961107 00 4</t>
  </si>
  <si>
    <t>SIGO 0 070129 00 5</t>
  </si>
  <si>
    <t>XUXX 1 060728 00 1</t>
  </si>
  <si>
    <t># Seguretat Social</t>
  </si>
  <si>
    <t># Ttargeta Sanitària</t>
  </si>
  <si>
    <t>CV</t>
  </si>
  <si>
    <t>TOBEIT SL</t>
  </si>
  <si>
    <t>Marta García de Pruneda Pascual</t>
  </si>
  <si>
    <t>m.pruneda@tobeit.es</t>
  </si>
  <si>
    <t>Sidogras y Flex Internacional</t>
  </si>
  <si>
    <t>Francisco Barrios</t>
  </si>
  <si>
    <t>fbarrios@sidogras.com</t>
  </si>
  <si>
    <t>Trucada per informar a l'empresa</t>
  </si>
  <si>
    <t>Rocio Huertas Valera</t>
  </si>
  <si>
    <t>r.huertas@ouagroup.com</t>
  </si>
  <si>
    <t>Carrer Viladomat 317 entresol (08029 - Barcelona)</t>
  </si>
  <si>
    <t>OUA Gestió del Territori i Urbanisme S. L.</t>
  </si>
  <si>
    <t>Alberto Valle</t>
  </si>
  <si>
    <t>av@dst.es</t>
  </si>
  <si>
    <t>DST - Deisoltec</t>
  </si>
  <si>
    <t>Sant Just Desvern</t>
  </si>
  <si>
    <t>A partir de Juny</t>
  </si>
  <si>
    <t>Plural Informática</t>
  </si>
  <si>
    <t>Danny Toma</t>
  </si>
  <si>
    <t>danny@pluralinformatica.com</t>
  </si>
  <si>
    <t>679 616 484</t>
  </si>
  <si>
    <t>Elena Cócera Pérez</t>
  </si>
  <si>
    <t>MK Development</t>
  </si>
  <si>
    <t>ecocera@mkdevelopment.es</t>
  </si>
  <si>
    <t>621 29 60 97</t>
  </si>
  <si>
    <t>Trucada</t>
  </si>
  <si>
    <t>Volen alumnes de 2n per 7h/d en dual general</t>
  </si>
  <si>
    <t>Vol ja CV de dual general</t>
  </si>
  <si>
    <t>Ingens-Networks</t>
  </si>
  <si>
    <t>Judith Lopez</t>
  </si>
  <si>
    <t>judith.lopez@ingens-networks.com</t>
  </si>
  <si>
    <t>???</t>
  </si>
  <si>
    <t>Convalidarà</t>
  </si>
  <si>
    <t>Fundació i2CAT</t>
  </si>
  <si>
    <t>cristina.martin@fundacionrandstad.es</t>
  </si>
  <si>
    <t>Cristina Martín Luján</t>
  </si>
  <si>
    <t>Larian Studios Spain SL</t>
  </si>
  <si>
    <t>Jorge Cabezas Garcia</t>
  </si>
  <si>
    <t>jorge.cabezas@larian.com</t>
  </si>
  <si>
    <t>Consell de Cent 367 (08009 - Barcelona)</t>
  </si>
  <si>
    <t>Aprestadora 12, Ent. 1ª (08902 - L’Hospitalet de Llobregat)</t>
  </si>
  <si>
    <t>Fundación Randstad</t>
  </si>
  <si>
    <t>46743326N</t>
  </si>
  <si>
    <t>ALBERTO VALLE BOSACOMA</t>
  </si>
  <si>
    <t>Vol 1 alumne en pràctiques</t>
  </si>
  <si>
    <t>(Tot)</t>
  </si>
  <si>
    <t>Ja té empresa</t>
  </si>
  <si>
    <t>Volen alumnes amb discapacitat per enviar-los afer pràctiques a Nestlé</t>
  </si>
  <si>
    <t>Frigicoll</t>
  </si>
  <si>
    <t>Sara Parada</t>
  </si>
  <si>
    <t>sara.parada@frigicoll.es</t>
  </si>
  <si>
    <t>Segón contacte:
Elena Macias (elena.macias@frigicoll.es)</t>
  </si>
  <si>
    <t>Contacte inicial per parlar del conveni del Marc Ricote</t>
  </si>
  <si>
    <t>Sandra Monleón</t>
  </si>
  <si>
    <t>Sirt</t>
  </si>
  <si>
    <t>smonleon@sirt.com</t>
  </si>
  <si>
    <t>659 942 425</t>
  </si>
  <si>
    <t>Carrer de Pere IV, 78, 8-1, Sant Martí (08005 - Barcelona)</t>
  </si>
  <si>
    <t>DeInfo</t>
  </si>
  <si>
    <t>Guillermo</t>
  </si>
  <si>
    <t>gpuig@deinfo.es</t>
  </si>
  <si>
    <t>Vía Augusta 261-263 Bajos B (08017 - Barcelona)</t>
  </si>
  <si>
    <t>Posposada</t>
  </si>
  <si>
    <t>DAVID SAEZ RODRIGUEZ</t>
  </si>
  <si>
    <t>david.saez@frigicoll.es</t>
  </si>
  <si>
    <t>46452673X</t>
  </si>
  <si>
    <t>Daniel Roldan Buades</t>
  </si>
  <si>
    <t>d.roldan@tobeit.es</t>
  </si>
  <si>
    <t>48575707Y</t>
  </si>
  <si>
    <t>Faltaran hores</t>
  </si>
  <si>
    <t>Guillermo Puig Sans</t>
  </si>
  <si>
    <t>46126178T</t>
  </si>
  <si>
    <t>Eada</t>
  </si>
  <si>
    <t>Natalia Alvaro</t>
  </si>
  <si>
    <t>nalvaro@eada.edu</t>
  </si>
  <si>
    <t>621 687546</t>
  </si>
  <si>
    <t>Contacte inicial, han de decidir el tipus de pràctiques.</t>
  </si>
  <si>
    <t>NetLand</t>
  </si>
  <si>
    <t>Jesus Martinez</t>
  </si>
  <si>
    <t>jesus@netland.pro</t>
  </si>
  <si>
    <t>Carrer Estelí, 33 (08980 - Sant Feliu de Llobregat)</t>
  </si>
  <si>
    <t>93 228 97 09</t>
  </si>
  <si>
    <t>Servei Meteorologic</t>
  </si>
  <si>
    <t>SARA.CANALEJO@GENCAT.CAT</t>
  </si>
  <si>
    <t>SARA CANALEJO CERVERA</t>
  </si>
  <si>
    <t>Carrer Provença 216  (08036 - Barcelona)</t>
  </si>
  <si>
    <t>Deutsche Telekom Global Business ( T-Systems)</t>
  </si>
  <si>
    <t>Josep Llena</t>
  </si>
  <si>
    <t>JOSE.LLENA-CRISPI@telekom.com</t>
  </si>
  <si>
    <t>Atrevia</t>
  </si>
  <si>
    <t>Cristina Flores Frasquet</t>
  </si>
  <si>
    <t>cflores@atrevia.com</t>
  </si>
  <si>
    <t>667 631 633</t>
  </si>
  <si>
    <t>CV - No l'han tractat</t>
  </si>
  <si>
    <t>Reb/NT</t>
  </si>
  <si>
    <t>Estan pensant si agafar un o els dos alumnes</t>
  </si>
  <si>
    <t>Contacte per quedar més tard</t>
  </si>
  <si>
    <t>Perfil: Windows+PS / Linux+Python / Autònom</t>
  </si>
  <si>
    <t>Ell proposa empresa</t>
  </si>
  <si>
    <t>Vanture ESS</t>
  </si>
  <si>
    <t>Amanda Casado</t>
  </si>
  <si>
    <t>Amanda.casado@vantureess.com</t>
  </si>
  <si>
    <t>672 632 687</t>
  </si>
  <si>
    <t>Volen un alumne de Dual General
Li pagen a 100€/hora/mes</t>
  </si>
  <si>
    <t>Lliure</t>
  </si>
  <si>
    <t>Reunió per tractar els futurs convenis Dual General</t>
  </si>
  <si>
    <t>Fast Byte</t>
  </si>
  <si>
    <t>Jordi Lanza</t>
  </si>
  <si>
    <t>jordi@fastbyte.es</t>
  </si>
  <si>
    <t>A partir de Setembre, està cobrant l'atur</t>
  </si>
  <si>
    <t>Ja seleccionad</t>
  </si>
  <si>
    <t>santiago@sikaizen.com</t>
  </si>
  <si>
    <t>Solucions informàtiques Kaizen</t>
  </si>
  <si>
    <t>Santiago Galiano Roig</t>
  </si>
  <si>
    <t>manuel.rato@vantureess.com</t>
  </si>
  <si>
    <t>44019171T</t>
  </si>
  <si>
    <t>Manuel Rato De Juan</t>
  </si>
  <si>
    <t>José Pintado</t>
  </si>
  <si>
    <t>jose.pintado@ingens-networks.com</t>
  </si>
  <si>
    <t>43447542J</t>
  </si>
  <si>
    <t>MARCO ARROM ZANUTTI</t>
  </si>
  <si>
    <t>marrom@atrevia.com</t>
  </si>
  <si>
    <t>53412413L</t>
  </si>
  <si>
    <t>Està d'acord en tenir l'Ivan per les pràctiques, li haig de dir dijous el tipus que li toquen a l'alumne.</t>
  </si>
  <si>
    <t>Posposada a un 3er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</si>
</sst>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000\ 000\ 000"/>
    <numFmt numFmtId="166" formatCode="00000"/>
    <numFmt numFmtId="167" formatCode="dd/mm/yyyy"/>
    <numFmt numFmtId="168" formatCode="####\ 0\ 000000\ 00\ 0"/>
    <numFmt numFmtId="169" formatCode="000000000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indent="2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0" borderId="0" xfId="1" applyAlignment="1">
      <alignment horizontal="left" vertic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169" fontId="2" fillId="2" borderId="0" xfId="0" applyNumberFormat="1" applyFont="1" applyFill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right" vertical="center"/>
    </xf>
    <xf numFmtId="0" fontId="1" fillId="0" borderId="0" xfId="1" applyAlignment="1">
      <alignment horizontal="center" vertical="center" wrapText="1"/>
    </xf>
    <xf numFmtId="165" fontId="1" fillId="0" borderId="0" xfId="1" applyNumberFormat="1" applyAlignment="1">
      <alignment horizontal="left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right" vertical="center" wrapText="1"/>
    </xf>
    <xf numFmtId="167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NumberFormat="1" applyAlignment="1">
      <alignment vertical="center"/>
    </xf>
  </cellXfs>
  <cellStyles count="2">
    <cellStyle name="Enllaç" xfId="1" builtinId="8"/>
    <cellStyle name="Normal" xfId="0" builtinId="0"/>
  </cellStyles>
  <dxfs count="113"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b/>
        <i/>
      </font>
      <fill>
        <patternFill patternType="solid">
          <fgColor theme="0"/>
          <bgColor theme="0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 val="0"/>
        <i/>
        <color theme="8"/>
      </font>
      <fill>
        <patternFill>
          <bgColor theme="9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/>
        <color theme="8"/>
      </font>
      <fill>
        <patternFill>
          <bgColor theme="7" tint="0.79998168889431442"/>
        </patternFill>
      </fill>
    </dxf>
    <dxf>
      <font>
        <color theme="9"/>
      </font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theme="2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66" formatCode="00000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9" formatCode="000000000000"/>
      <alignment horizontal="right" vertical="center" textRotation="0" wrapText="0" indent="0" justifyLastLine="0" shrinkToFit="0" readingOrder="0"/>
    </dxf>
    <dxf>
      <numFmt numFmtId="168" formatCode="####\ 0\ 000000\ 00\ 0"/>
      <alignment horizontal="right" vertical="center" textRotation="0" wrapText="0" indent="0" justifyLastLine="0" shrinkToFit="0" readingOrder="0"/>
    </dxf>
    <dxf>
      <numFmt numFmtId="167" formatCode="dd/mm/yyyy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165" formatCode="000\ 000\ 000"/>
      <alignment horizontal="general" vertical="center" textRotation="0" wrapText="0" indent="0" justifyLastLine="0" shrinkToFit="0" readingOrder="0"/>
    </dxf>
    <dxf>
      <numFmt numFmtId="166" formatCode="000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164" formatCode="dd/mm/yyyy;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165" formatCode="000\ 000\ 0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67" formatCode="dd/mm/yyyy"/>
      <alignment horizontal="right" vertical="center" textRotation="0" wrapText="1" indent="0" justifyLastLine="0" shrinkToFit="0" readingOrder="0"/>
    </dxf>
    <dxf>
      <numFmt numFmtId="167" formatCode="dd/mm/yyyy"/>
      <alignment horizontal="righ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0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numFmt numFmtId="166" formatCode="00000"/>
      <alignment horizontal="left" vertical="center" textRotation="0" wrapText="1" indent="0" justifyLastLine="0" shrinkToFit="0" readingOrder="0"/>
    </dxf>
    <dxf>
      <numFmt numFmtId="166" formatCode="00000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9" formatCode="000000000000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5" formatCode="000\ 000\ 000"/>
      <alignment horizontal="center" vertical="center" textRotation="0" wrapText="1" indent="0" justifyLastLine="0" shrinkToFit="0" readingOrder="0"/>
    </dxf>
    <dxf>
      <numFmt numFmtId="165" formatCode="000\ 000\ 0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118110</xdr:rowOff>
    </xdr:from>
    <xdr:to>
      <xdr:col>0</xdr:col>
      <xdr:colOff>1944370</xdr:colOff>
      <xdr:row>9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us">
              <a:extLst>
                <a:ext uri="{FF2B5EF4-FFF2-40B4-BE49-F238E27FC236}">
                  <a16:creationId xmlns:a16="http://schemas.microsoft.com/office/drawing/2014/main" id="{F5AB341A-8233-8DD9-6C05-AC8CDC6444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18110"/>
              <a:ext cx="1830070" cy="1671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Aquesta forma representa un afinador. Els afinadors són compatibles amb l'Excel 2010 o posterior.
Si la forma s'ha modificat en una versió anterior de l'Excel o si el llibre de treball s'ha desat a l'Excel 2003 o en una versió anterior, l'afinador no es pot utilitzar.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120650</xdr:colOff>
      <xdr:row>11</xdr:row>
      <xdr:rowOff>50800</xdr:rowOff>
    </xdr:from>
    <xdr:to>
      <xdr:col>0</xdr:col>
      <xdr:colOff>1968500</xdr:colOff>
      <xdr:row>19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Ok">
              <a:extLst>
                <a:ext uri="{FF2B5EF4-FFF2-40B4-BE49-F238E27FC236}">
                  <a16:creationId xmlns:a16="http://schemas.microsoft.com/office/drawing/2014/main" id="{646A481D-1B49-A8C0-61DB-B0D1B55B25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2065020"/>
              <a:ext cx="1842770" cy="1545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Aquesta forma representa un afinador. Els afinadors són compatibles amb l'Excel 2010 o posterior.
Si la forma s'ha modificat en una versió anterior de l'Excel o si el llibre de treball s'ha desat a l'Excel 2003 o en una versió anterior, l'afinador no es pot utilitzar.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110490</xdr:rowOff>
    </xdr:from>
    <xdr:to>
      <xdr:col>0</xdr:col>
      <xdr:colOff>1852930</xdr:colOff>
      <xdr:row>14</xdr:row>
      <xdr:rowOff>174622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lumne">
              <a:extLst>
                <a:ext uri="{FF2B5EF4-FFF2-40B4-BE49-F238E27FC236}">
                  <a16:creationId xmlns:a16="http://schemas.microsoft.com/office/drawing/2014/main" id="{85A678AB-F6D0-18A4-3F3D-82D0728801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um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490"/>
              <a:ext cx="1835150" cy="2638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Aquesta forma representa un afinador. Els afinadors són compatibles amb l'Excel 2010 o posterior.
Si la forma s'ha modificat en una versió anterior de l'Excel o si el llibre de treball s'ha desat a l'Excel 2003 o en una versió anterior, l'afinador no es pot utilitzar.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158750</xdr:rowOff>
    </xdr:from>
    <xdr:to>
      <xdr:col>0</xdr:col>
      <xdr:colOff>1854200</xdr:colOff>
      <xdr:row>30</xdr:row>
      <xdr:rowOff>40002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mpresa">
              <a:extLst>
                <a:ext uri="{FF2B5EF4-FFF2-40B4-BE49-F238E27FC236}">
                  <a16:creationId xmlns:a16="http://schemas.microsoft.com/office/drawing/2014/main" id="{315B3135-0B35-C5B0-0340-6D8E46ED6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21000"/>
              <a:ext cx="1837690" cy="2643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Aquesta forma representa un afinador. Els afinadors són compatibles amb l'Excel 2010 o posterior.
Si la forma s'ha modificat en una versió anterior de l'Excel o si el llibre de treball s'ha desat a l'Excel 2003 o en una versió anterior, l'afinador no es pot utilitzar.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599440</xdr:colOff>
      <xdr:row>2</xdr:row>
      <xdr:rowOff>10160</xdr:rowOff>
    </xdr:from>
    <xdr:to>
      <xdr:col>6</xdr:col>
      <xdr:colOff>2424430</xdr:colOff>
      <xdr:row>16</xdr:row>
      <xdr:rowOff>102232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mentari">
              <a:extLst>
                <a:ext uri="{FF2B5EF4-FFF2-40B4-BE49-F238E27FC236}">
                  <a16:creationId xmlns:a16="http://schemas.microsoft.com/office/drawing/2014/main" id="{EC1C31AC-DEFF-DD40-2B16-7EFCCD583F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enta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9560" y="378460"/>
              <a:ext cx="1828800" cy="26447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a-ES" sz="1100"/>
                <a:t>Aquesta forma representa un afinador. Els afinadors són compatibles amb l'Excel 2010 o posterior.
Si la forma s'ha modificat en una versió anterior de l'Excel o si el llibre de treball s'ha desat a l'Excel 2003 o en una versió anterior, l'afinador no es pot utilitzar.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Tomas Comellas" refreshedDate="46140.603532291665" createdVersion="8" refreshedVersion="8" minRefreshableVersion="3" recordCount="67" xr:uid="{767E5F6A-3801-4A05-8A09-E6056588101D}">
  <cacheSource type="worksheet">
    <worksheetSource name="Taula_Seguiment"/>
  </cacheSource>
  <cacheFields count="11">
    <cacheField name="Data" numFmtId="164">
      <sharedItems containsSemiMixedTypes="0" containsNonDate="0" containsDate="1" containsString="0" minDate="1900-01-14T00:00:00" maxDate="2026-04-29T00:00:00" count="66">
        <d v="2026-02-17T00:00:00"/>
        <d v="2026-02-18T00:00:00"/>
        <d v="2026-02-19T00:00:00"/>
        <d v="2026-02-23T00:00:00"/>
        <d v="2026-02-25T00:00:00"/>
        <d v="2026-02-26T00:00:00"/>
        <d v="2026-03-02T00:00:00"/>
        <d v="2026-03-04T00:00:00"/>
        <d v="2026-03-05T00:00:00"/>
        <d v="2026-03-06T00:00:00"/>
        <d v="2026-03-09T00:00:00"/>
        <d v="2026-03-10T00:00:00"/>
        <d v="2026-03-11T00:00:00"/>
        <d v="2026-03-19T00:00:00"/>
        <d v="2026-03-23T00:00:00"/>
        <d v="2026-03-25T00:00:00"/>
        <d v="2026-03-27T00:00:00"/>
        <d v="2026-04-07T00:00:00"/>
        <d v="2026-04-10T00:00:00"/>
        <d v="2026-04-15T00:00:00"/>
        <d v="1900-01-14T00:00:00"/>
        <d v="2026-04-16T00:00:00"/>
        <d v="2026-04-20T00:00:00"/>
        <d v="2026-04-22T00:00:00"/>
        <d v="2026-04-23T00:00:00"/>
        <d v="2026-04-27T00:00:00"/>
        <d v="2026-04-28T00:00:00"/>
        <d v="2026-02-22T00:00:00" u="1"/>
        <d v="2026-02-11T00:00:00" u="1"/>
        <d v="2025-09-12T00:00:00" u="1"/>
        <d v="2025-09-19T00:00:00" u="1"/>
        <d v="2025-10-08T00:00:00" u="1"/>
        <d v="2025-10-09T00:00:00" u="1"/>
        <d v="2025-10-17T00:00:00" u="1"/>
        <d v="2025-10-20T00:00:00" u="1"/>
        <d v="2025-10-23T00:00:00" u="1"/>
        <d v="2025-10-24T00:00:00" u="1"/>
        <d v="2025-10-28T00:00:00" u="1"/>
        <d v="2025-10-29T00:00:00" u="1"/>
        <d v="2025-10-30T00:00:00" u="1"/>
        <d v="2025-11-03T00:00:00" u="1"/>
        <d v="2025-11-04T00:00:00" u="1"/>
        <d v="2025-11-05T00:00:00" u="1"/>
        <d v="2025-11-06T00:00:00" u="1"/>
        <d v="2025-11-07T00:00:00" u="1"/>
        <d v="2025-11-11T00:00:00" u="1"/>
        <d v="2025-11-14T00:00:00" u="1"/>
        <d v="2025-11-18T00:00:00" u="1"/>
        <d v="2025-11-19T00:00:00" u="1"/>
        <d v="2025-11-24T00:00:00" u="1"/>
        <d v="2025-12-01T00:00:00" u="1"/>
        <d v="2026-01-21T00:00:00" u="1"/>
        <d v="2025-12-17T00:00:00" u="1"/>
        <d v="2025-12-03T00:00:00" u="1"/>
        <d v="2025-12-10T00:00:00" u="1"/>
        <d v="2025-12-11T00:00:00" u="1"/>
        <d v="2025-12-12T00:00:00" u="1"/>
        <d v="2025-12-16T00:00:00" u="1"/>
        <d v="2025-12-22T00:00:00" u="1"/>
        <d v="2026-01-22T00:00:00" u="1"/>
        <d v="2026-01-12T00:00:00" u="1"/>
        <d v="2026-01-14T00:00:00" u="1"/>
        <d v="2026-01-16T00:00:00" u="1"/>
        <d v="2026-01-19T00:00:00" u="1"/>
        <d v="2026-01-20T00:00:00" u="1"/>
        <d v="2026-02-04T00:00:00" u="1"/>
      </sharedItems>
    </cacheField>
    <cacheField name="Alumne" numFmtId="0">
      <sharedItems containsBlank="1" count="34">
        <s v="Espejo Martínez, Ivan"/>
        <s v="Rodríguez González, Mario"/>
        <m/>
        <s v="Jurado Borrell, Hugo"/>
        <s v="Benítes Zambrano, David"/>
        <s v="Almendros García, Javier"/>
        <s v="Fernandes Teixeira, Sebastian Samuel"/>
        <s v="Dublanche, Alexis Stéphane Fran"/>
        <s v="Corbelle Padin, Iago"/>
        <s v="Guillamon Uzñate, Arnau"/>
        <s v="Simarro González, Izan"/>
        <s v="Lucas Jerez, Hector"/>
        <s v="Miller Villalobos, Sheila"/>
        <s v="Xu, Montserrat"/>
        <s v="Bonfil Valldeperas, Arnau"/>
        <s v="Chavero Grande, Pau"/>
        <s v="Camps Atmetller, Jan" u="1"/>
        <s v="Ortiz Castaño, Joan" u="1"/>
        <s v="Doral Castillo, Marcos" u="1"/>
        <s v="Mattes González, Judit" u="1"/>
        <s v="Petisco Montero, Adrián" u="1"/>
        <s v="Molina Muriana, Antonio" u="1"/>
        <s v="Nicolau Benavent, Biel" u="1"/>
        <s v="de Miranda Arrocha, Carlos" u="1"/>
        <s v="Masip Borrajo, Marc" u="1"/>
        <s v="Caldera Torres, Amaro Benjamin" u="1"/>
        <s v="Lázaro Kobata, Gonzalo" u="1"/>
        <s v="Ortiz Ribas, Antonio" u="1"/>
        <s v="Valenzuela Geder, Iván" u="1"/>
        <s v="Tortosa Pulido, Gonzalo" u="1"/>
        <s v="Vila Garcia, Pol" u="1"/>
        <s v="Saavedra Sallés, Laura" u="1"/>
        <s v="Turias Hernández, Biel" u="1"/>
        <s v="Bedmar Moorey, Pablo" u="1"/>
      </sharedItems>
    </cacheField>
    <cacheField name="Empresa" numFmtId="0">
      <sharedItems containsBlank="1" count="56">
        <s v="TOBEIT SL"/>
        <s v="Sidogras y Flex Internacional"/>
        <s v="OUA Gestió del Territori i Urbanisme S. L."/>
        <s v="DST - Deisoltec"/>
        <s v="Plural Informática"/>
        <s v="MK Development"/>
        <s v="Ingens-Networks"/>
        <s v="Larian Studios Spain SL"/>
        <s v="Fundación Randstad"/>
        <s v="Frigicoll"/>
        <s v="Sirt"/>
        <s v="DeInfo"/>
        <s v="Eada"/>
        <s v="NetLand"/>
        <s v="Servei Meteorologic"/>
        <s v="Deutsche Telekom Global Business ( T-Systems)"/>
        <s v="Atrevia"/>
        <s v="Vanture ESS"/>
        <m u="1"/>
        <s v="Fast Byte" u="1"/>
        <s v="Fundació i2CAT" u="1"/>
        <s v="Grup Parlem" u="1"/>
        <s v="5Skills" u="1"/>
        <s v="Sigma" u="1"/>
        <s v="ST Idea" u="1"/>
        <s v="Pulsa Media Consulting" u="1"/>
        <s v="Difusión, Centro de Investigación y Publicaciones de Idiomas, S. L. " u="1"/>
        <s v="Col·legi Oficial d'Infermeres i Infermers de Barcelona" u="1"/>
        <s v="BMAT Music Innovators" u="1"/>
        <s v="Ajuntament de Cornellà" u="1"/>
        <s v="VIEWNEXT" u="1"/>
        <s v="Digital Legens" u="1"/>
        <s v="NETDRIVER" u="1"/>
        <s v="TKM CONSULTORES, S.L." u="1"/>
        <s v="INVEREADY" u="1"/>
        <s v="ESTANCOS Y LOTERIAS SERVICIOS DE MEDIACION S.L." u="1"/>
        <s v="Buzz" u="1"/>
        <s v="Omexom" u="1"/>
        <s v="Grupo Godó de Comunicación" u="1"/>
        <s v="Deloitte" u="1"/>
        <s v="PISTA CERO SL" u="1"/>
        <s v="SERMICRO" u="1"/>
        <s v="UIC" u="1"/>
        <s v="Plural Informatica" u="1"/>
        <s v="The Hotels Network THN" u="1"/>
        <s v="DataStelia" u="1"/>
        <s v="GROM PLACE SL" u="1"/>
        <s v="FUNDACIÓ JESUÏTES EDUCACIÓ" u="1"/>
        <s v="Mútuas de Terrassa" u="1"/>
        <s v="Flexxible" u="1"/>
        <s v="Glofera" u="1"/>
        <s v="Globo" u="1"/>
        <s v="Econocom" u="1"/>
        <s v="Acens" u="1"/>
        <s v="THE BARCELONA EDITION" u="1"/>
        <s v="Microservei" u="1"/>
      </sharedItems>
    </cacheField>
    <cacheField name="Comentari" numFmtId="0">
      <sharedItems containsBlank="1" count="46">
        <s v="CV - Enviat"/>
        <s v="Enviament correu - Contacte inicial"/>
        <s v="Altres"/>
        <s v="CV - Rebutjat"/>
        <s v="Trucada"/>
        <s v="Seleccionat"/>
        <s v="Reunió programada"/>
        <s v="Conveni - Alta"/>
        <s v="CV - No l'han tractat"/>
        <s v="???" u="1"/>
        <s v="Enviament correu - Curriculums" u="1"/>
        <s v="CV enviat" u="1"/>
        <s v="Petició documentació per l'exempció" u="1"/>
        <s v="Enviament correu per contacte inicial" u="1"/>
        <s v="Reunió programada 09/10/25 11:00" u="1"/>
        <s v="Reunió programada 09/10/25 15:00" u="1"/>
        <s v="Reunió virtual per posar-nos cara" u="1"/>
        <s v="Enviament document registr empresa" u="1"/>
        <s v="Conveni creat" u="1"/>
        <s v="Reunió programada dm 04/11/25 10:00" u="1"/>
        <s v="Reunió programada dx 29/10/25 10:00" u="1"/>
        <s v="Reunió virtual: volen mirar de fer pràctiques a partir del gener. Perfilaran les tasques de l'alumne i es posaran en contacte. " u="1"/>
        <s v="Reunió virtual: volen una persona per Dual Intensiva amb nivell d'anglés per començar ja." u="1"/>
        <s v="Enviament correu per contacte inicial i curriculums" u="1"/>
        <s v="Reunió virtual: volen alumnes de pràctiques de Sistemes i Programació amb anglès" u="1"/>
        <s v="Convalidat" u="1"/>
        <s v="Enviament correu per curriculums" u="1"/>
        <s v="CV rebutjat" u="1"/>
        <s v="Baixa conveni actual. L'empressa no podia fer-se càrrec de la SS" u="1"/>
        <s v="Enviament correu per contacte inicial --&gt; ple fins el mes de març, llavors valoraràn noves incorporacions" u="1"/>
        <s v="Trucar 912942304 Olga Moreno --&gt; No contesta" u="1"/>
        <s v="Trucar 93 394 17 77 Gironella Guzman, Irene --&gt; No contesta" u="1"/>
        <s v="Enviament missatge de recordatori" u="1"/>
        <s v="Envio missatge per poder contactar en un futur" u="1"/>
        <s v="Prorrogra conveni fins 31/12" u="1"/>
        <s v="Canvi de conveni per tema horari" u="1"/>
        <s v="Ja seleccionat" u="1"/>
        <s v="Enviament missatge a Guillermo Puig per valorar al Pol Vila" u="1"/>
        <s v="Enviament missatge per saber estat entrevistes" u="1"/>
        <s v="Enviament missatge per saber estat previ al conveni per l'Ivan" u="1"/>
        <s v="Rebut correu de contacte" u="1"/>
        <s v="Recordar març noves pràctiques" u="1"/>
        <s v="Xerrada de seguiment" u="1"/>
        <s v="??" u="1"/>
        <s v="2na" u="1"/>
        <m u="1"/>
      </sharedItems>
    </cacheField>
    <cacheField name="Obs" numFmtId="0">
      <sharedItems containsBlank="1"/>
    </cacheField>
    <cacheField name="CV - Enviat" numFmtId="0">
      <sharedItems/>
    </cacheField>
    <cacheField name="CV - Rebutjat" numFmtId="0">
      <sharedItems/>
    </cacheField>
    <cacheField name="CV - No l'han tractat" numFmtId="0">
      <sharedItems/>
    </cacheField>
    <cacheField name="Empresa enviada" numFmtId="0">
      <sharedItems/>
    </cacheField>
    <cacheField name="Estat" numFmtId="0">
      <sharedItems count="10">
        <s v="Dual int."/>
        <s v=""/>
        <s v="Dual gen."/>
        <s v="Entrevista Dual int." u="1"/>
        <s v="Convalidació" u="1"/>
        <s v="Pràctiques finalitzades" u="1"/>
        <s v="Pendent Conveni" u="1"/>
        <s v="Pendent convalidació" u="1"/>
        <s v="Pendent DualSigner" u="1"/>
        <s v="Entrevista Dual gen." u="1"/>
      </sharedItems>
    </cacheField>
    <cacheField name="Nom Empresa" numFmtId="0">
      <sharedItems/>
    </cacheField>
  </cacheFields>
  <extLst>
    <ext xmlns:x14="http://schemas.microsoft.com/office/spreadsheetml/2009/9/main" uri="{725AE2AE-9491-48be-B2B4-4EB974FC3084}">
      <x14:pivotCacheDefinition pivotCacheId="13258340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Tomas Comellas" refreshedDate="46140.603532986112" createdVersion="8" refreshedVersion="8" minRefreshableVersion="3" recordCount="28" xr:uid="{4439BF31-7356-40DB-AA1C-659C929F8D9D}">
  <cacheSource type="worksheet">
    <worksheetSource name="Taula_Alumnes"/>
  </cacheSource>
  <cacheFields count="33">
    <cacheField name="#" numFmtId="0">
      <sharedItems containsSemiMixedTypes="0" containsString="0" containsNumber="1" containsInteger="1" minValue="1" maxValue="31"/>
    </cacheField>
    <cacheField name="CV" numFmtId="0">
      <sharedItems/>
    </cacheField>
    <cacheField name="Cognoms" numFmtId="0">
      <sharedItems/>
    </cacheField>
    <cacheField name="Nom" numFmtId="0">
      <sharedItems/>
    </cacheField>
    <cacheField name="Nom sencer" numFmtId="0">
      <sharedItems count="61">
        <s v="Aguayo Barrientos, Jose Wigberto"/>
        <s v="Almendros García, Javier"/>
        <s v="Barrios López, Iván"/>
        <s v="Benítes Zambrano, David"/>
        <s v="Bonfil Valldeperas, Arnau"/>
        <s v="Camps Atmetller, Jan"/>
        <s v="Cebrián Piñeiro, Rocco"/>
        <s v="Chavero Grande, Pau"/>
        <s v="Corbelle Padin, Iago"/>
        <s v="Dublanche, Alexis Stéphane Fran"/>
        <s v="Espejo Martínez, Ivan"/>
        <s v="Farré Marín, Joan"/>
        <s v="Fernandes Teixeira, Sebastian Samuel"/>
        <s v="Gallego Pérez, Dídac"/>
        <s v="Guerra Alberti, Edgar"/>
        <s v="Guillamon Uzñate, Arnau"/>
        <s v="Jurado Borrell, Hugo"/>
        <s v="Lucas Jerez, Hector"/>
        <s v="Miller Villalobos, Sheila"/>
        <s v="Miravete Núñez, Tristan"/>
        <s v="Pérez Hernando, Álvaro"/>
        <s v="Pesado Flores, Samuel"/>
        <s v="Ricote Fernández, Marc"/>
        <s v="Rodríguez González, Mario"/>
        <s v="Sánchez Herrera, Andres Mauricio"/>
        <s v="Simarro González, Izan"/>
        <s v="Xu, Montserrat"/>
        <s v="Xufré Prieto, Biel"/>
        <s v="Cívico Crispín, Mario" u="1"/>
        <s v="Escobar Herrera, Daniela" u="1"/>
        <s v="Martínez González, Marc" u="1"/>
        <s v="Bedmar Moorey, Pablo" u="1"/>
        <s v="Blanco Garcia, Eduard" u="1"/>
        <s v="Caldera Torres, Amaro Benjamin" u="1"/>
        <s v="de Miranda Arrocha, Carlos" u="1"/>
        <s v="Doral Castillo, Marcos" u="1"/>
        <s v="Garcia Escribano, Joel" u="1"/>
        <s v="García García, Marc" u="1"/>
        <s v="Girigan, Toni Alex" u="1"/>
        <s v="González Tona, Joel" u="1"/>
        <s v="Lázaro Kobata, Gonzalo" u="1"/>
        <s v="López Pareja, Miguel" u="1"/>
        <s v="Martínez Martín, Dídac" u="1"/>
        <s v="Masip Borrajo, Marc" u="1"/>
        <s v="Mattes González, Judit" u="1"/>
        <s v="Molina Muriana, Antonio" u="1"/>
        <s v="Molina Sánchez, David" u="1"/>
        <s v="Moreno López, Víctor" u="1"/>
        <s v="Nicolau Benavent, Biel" u="1"/>
        <s v="Ortiz Castaño, Joan" u="1"/>
        <s v="Ortiz Ribas, Antonio" u="1"/>
        <s v="Petisco Montero, Adrián" u="1"/>
        <s v="Pliego González, Manuel José" u="1"/>
        <s v="Rovira Pla, Guillem" u="1"/>
        <s v="Saavedra Sallés, Laura" u="1"/>
        <s v="Tortosa Pulido, Gonzalo" u="1"/>
        <s v="Turias Hernández, Biel" u="1"/>
        <s v="Valenzuela Geder, Iván" u="1"/>
        <s v="Vidal del Río, Dídac" u="1"/>
        <s v="Vila Garcia, Pol" u="1"/>
        <s v="Vilajosana May, Lluís" u="1"/>
      </sharedItems>
    </cacheField>
    <cacheField name="Env" numFmtId="0">
      <sharedItems containsSemiMixedTypes="0" containsString="0" containsNumber="1" containsInteger="1" minValue="0" maxValue="4"/>
    </cacheField>
    <cacheField name="Reb/NT" numFmtId="0">
      <sharedItems containsSemiMixedTypes="0" containsString="0" containsNumber="1" containsInteger="1" minValue="0" maxValue="3"/>
    </cacheField>
    <cacheField name="Ok" numFmtId="0">
      <sharedItems count="5">
        <s v="Pendent"/>
        <s v="Assignat"/>
        <s v="Finalitzades" u="1"/>
        <b v="1" u="1"/>
        <b v="0" u="1"/>
      </sharedItems>
    </cacheField>
    <cacheField name="Obs" numFmtId="0">
      <sharedItems containsBlank="1"/>
    </cacheField>
    <cacheField name="DNI/NIE/Passaport" numFmtId="0">
      <sharedItems/>
    </cacheField>
    <cacheField name="Data Naixement" numFmtId="164">
      <sharedItems containsSemiMixedTypes="0" containsNonDate="0" containsDate="1" containsString="0" minDate="1994-02-02T00:00:00" maxDate="2007-10-24T00:00:00"/>
    </cacheField>
    <cacheField name="Edat" numFmtId="1">
      <sharedItems/>
    </cacheField>
    <cacheField name="Telèfon #1" numFmtId="165">
      <sharedItems containsSemiMixedTypes="0" containsString="0" containsNumber="1" containsInteger="1" minValue="602464071" maxValue="722586444"/>
    </cacheField>
    <cacheField name="Telèfon #2" numFmtId="165">
      <sharedItems containsString="0" containsBlank="1" containsNumber="1" containsInteger="1" minValue="601254487" maxValue="937772211"/>
    </cacheField>
    <cacheField name="TS" numFmtId="0">
      <sharedItems/>
    </cacheField>
    <cacheField name="SS" numFmtId="169">
      <sharedItems containsMixedTypes="1" containsNumber="1" containsInteger="1" minValue="81217190826" maxValue="281595167663"/>
    </cacheField>
    <cacheField name="Correu electrònic" numFmtId="0">
      <sharedItems/>
    </cacheField>
    <cacheField name="Adreça" numFmtId="0">
      <sharedItems/>
    </cacheField>
    <cacheField name="Població" numFmtId="0">
      <sharedItems/>
    </cacheField>
    <cacheField name="CP" numFmtId="166">
      <sharedItems containsMixedTypes="1" containsNumber="1" containsInteger="1" minValue="8014" maxValue="8980"/>
    </cacheField>
    <cacheField name="Idiomes" numFmtId="166">
      <sharedItems containsNonDate="0" containsString="0" containsBlank="1"/>
    </cacheField>
    <cacheField name="Tipus" numFmtId="0">
      <sharedItems containsBlank="1" count="8">
        <s v="Dual gen."/>
        <s v="Dual int."/>
        <s v="No assig."/>
        <s v="Convalidació"/>
        <s v="Posposada"/>
        <s v="Pendent" u="1"/>
        <m u="1"/>
        <s v="Contracte associat" u="1"/>
      </sharedItems>
    </cacheField>
    <cacheField name="Estat" numFmtId="0">
      <sharedItems containsBlank="1" count="12">
        <s v="Pendent"/>
        <s v="Dual int."/>
        <s v="Entrevista Dual int."/>
        <s v="Entrevista Dual gen."/>
        <s v="Dual gen."/>
        <s v="Pendent convalidació" u="1"/>
        <s v="No assig." u="1"/>
        <s v="Convalidació" u="1"/>
        <m u="1"/>
        <s v="Pràctiques finalitzades" u="1"/>
        <s v="Pendent Conveni" u="1"/>
        <s v="Pendent DualSigner" u="1"/>
      </sharedItems>
    </cacheField>
    <cacheField name="Empresa" numFmtId="0">
      <sharedItems/>
    </cacheField>
    <cacheField name="Nom Tutor" numFmtId="0">
      <sharedItems containsBlank="1"/>
    </cacheField>
    <cacheField name="Tel. Tutor" numFmtId="0">
      <sharedItems containsString="0" containsBlank="1" containsNumber="1" containsInteger="1" minValue="637205861" maxValue="934803322"/>
    </cacheField>
    <cacheField name="Correu Tutor" numFmtId="0">
      <sharedItems containsBlank="1"/>
    </cacheField>
    <cacheField name="DNI Tutor" numFmtId="0">
      <sharedItems containsBlank="1"/>
    </cacheField>
    <cacheField name="Inici" numFmtId="167">
      <sharedItems containsNonDate="0" containsDate="1" containsString="0" containsBlank="1" minDate="2026-04-01T00:00:00" maxDate="2026-04-08T00:00:00"/>
    </cacheField>
    <cacheField name="Fi" numFmtId="167">
      <sharedItems containsNonDate="0" containsDate="1" containsString="0" containsBlank="1" minDate="2026-06-30T00:00:00" maxDate="2027-05-01T00:00:00"/>
    </cacheField>
    <cacheField name="Hores" numFmtId="1">
      <sharedItems containsString="0" containsBlank="1" containsNumber="1" containsInteger="1" minValue="320" maxValue="1014"/>
    </cacheField>
    <cacheField name="Observacions" numFmtId="0">
      <sharedItems containsBlank="1"/>
    </cacheField>
    <cacheField name="Nota Empres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911222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x v="0"/>
    <x v="0"/>
    <m/>
    <s v="Espejo Martínez, Ivan"/>
    <s v=""/>
    <s v=""/>
    <s v="TOBEIT SL (17/02/2026)"/>
    <x v="0"/>
    <s v="Dual int."/>
  </r>
  <r>
    <x v="0"/>
    <x v="1"/>
    <x v="0"/>
    <x v="0"/>
    <m/>
    <s v="Rodríguez González, Mario"/>
    <s v=""/>
    <s v=""/>
    <s v="TOBEIT SL (17/02/2026)"/>
    <x v="0"/>
    <s v="Entrevista Dual int."/>
  </r>
  <r>
    <x v="1"/>
    <x v="2"/>
    <x v="1"/>
    <x v="1"/>
    <m/>
    <s v=""/>
    <s v=""/>
    <s v=""/>
    <s v="Sidogras y Flex Internacional (18/02/2026)"/>
    <x v="1"/>
    <s v=""/>
  </r>
  <r>
    <x v="1"/>
    <x v="2"/>
    <x v="1"/>
    <x v="2"/>
    <s v="Trucada per informar a l'empresa"/>
    <s v=""/>
    <s v=""/>
    <s v=""/>
    <s v="Sidogras y Flex Internacional (18/02/2026)"/>
    <x v="1"/>
    <s v=""/>
  </r>
  <r>
    <x v="1"/>
    <x v="3"/>
    <x v="1"/>
    <x v="0"/>
    <m/>
    <s v="Jurado Borrell, Hugo"/>
    <s v=""/>
    <s v=""/>
    <s v="Sidogras y Flex Internacional (18/02/2026)"/>
    <x v="0"/>
    <s v="Entrevista Dual int."/>
  </r>
  <r>
    <x v="2"/>
    <x v="2"/>
    <x v="2"/>
    <x v="1"/>
    <m/>
    <s v=""/>
    <s v=""/>
    <s v=""/>
    <s v="OUA Gestió del Territori i Urbanisme S. L. (19/02/2026)"/>
    <x v="1"/>
    <s v=""/>
  </r>
  <r>
    <x v="2"/>
    <x v="2"/>
    <x v="2"/>
    <x v="2"/>
    <s v="Trucada per informar a l'empresa"/>
    <s v=""/>
    <s v=""/>
    <s v=""/>
    <s v="OUA Gestió del Territori i Urbanisme S. L. (19/02/2026)"/>
    <x v="1"/>
    <s v=""/>
  </r>
  <r>
    <x v="3"/>
    <x v="4"/>
    <x v="3"/>
    <x v="0"/>
    <m/>
    <s v="Benítes Zambrano, David"/>
    <s v=""/>
    <s v=""/>
    <s v="DST - Deisoltec (23/02/2026)"/>
    <x v="0"/>
    <s v="Entrevista Dual int."/>
  </r>
  <r>
    <x v="3"/>
    <x v="5"/>
    <x v="3"/>
    <x v="0"/>
    <m/>
    <s v="Almendros García, Javier"/>
    <s v=""/>
    <s v=""/>
    <s v="DST - Deisoltec (23/02/2026)"/>
    <x v="0"/>
    <s v="Dual int."/>
  </r>
  <r>
    <x v="4"/>
    <x v="4"/>
    <x v="3"/>
    <x v="3"/>
    <m/>
    <s v=""/>
    <s v="Benítes Zambrano, David"/>
    <s v=""/>
    <s v="DST - Deisoltec (25/02/2026)"/>
    <x v="0"/>
    <s v="Entrevista Dual int."/>
  </r>
  <r>
    <x v="4"/>
    <x v="4"/>
    <x v="2"/>
    <x v="0"/>
    <m/>
    <s v="Benítes Zambrano, David"/>
    <s v=""/>
    <s v=""/>
    <s v="OUA Gestió del Territori i Urbanisme S. L. (25/02/2026)"/>
    <x v="0"/>
    <s v="Entrevista Dual int."/>
  </r>
  <r>
    <x v="4"/>
    <x v="6"/>
    <x v="2"/>
    <x v="0"/>
    <m/>
    <s v="Fernandes Teixeira, Sebastian Samuel"/>
    <s v=""/>
    <s v=""/>
    <s v="OUA Gestió del Territori i Urbanisme S. L. (25/02/2026)"/>
    <x v="0"/>
    <s v="Dual int."/>
  </r>
  <r>
    <x v="4"/>
    <x v="2"/>
    <x v="4"/>
    <x v="1"/>
    <m/>
    <s v=""/>
    <s v=""/>
    <s v=""/>
    <s v="Plural Informática (25/02/2026)"/>
    <x v="1"/>
    <s v=""/>
  </r>
  <r>
    <x v="4"/>
    <x v="2"/>
    <x v="5"/>
    <x v="1"/>
    <m/>
    <s v=""/>
    <s v=""/>
    <s v=""/>
    <s v="MK Development (25/02/2026)"/>
    <x v="1"/>
    <s v=""/>
  </r>
  <r>
    <x v="5"/>
    <x v="2"/>
    <x v="5"/>
    <x v="4"/>
    <s v="Volen alumnes de 2n per 7h/d en dual general"/>
    <s v=""/>
    <s v=""/>
    <s v=""/>
    <s v="MK Development (26/02/2026)"/>
    <x v="1"/>
    <s v=""/>
  </r>
  <r>
    <x v="5"/>
    <x v="2"/>
    <x v="4"/>
    <x v="4"/>
    <s v="Vol ja CV de dual general"/>
    <s v=""/>
    <s v=""/>
    <s v=""/>
    <s v="Plural Informática (26/02/2026)"/>
    <x v="1"/>
    <s v=""/>
  </r>
  <r>
    <x v="6"/>
    <x v="2"/>
    <x v="6"/>
    <x v="1"/>
    <m/>
    <s v=""/>
    <s v=""/>
    <s v=""/>
    <s v="Ingens-Networks (02/03/2026)"/>
    <x v="1"/>
    <s v=""/>
  </r>
  <r>
    <x v="6"/>
    <x v="7"/>
    <x v="6"/>
    <x v="0"/>
    <m/>
    <s v="Dublanche, Alexis Stéphane Fran"/>
    <s v=""/>
    <s v=""/>
    <s v="Ingens-Networks (02/03/2026)"/>
    <x v="0"/>
    <s v="Entrevista Dual int."/>
  </r>
  <r>
    <x v="7"/>
    <x v="5"/>
    <x v="3"/>
    <x v="5"/>
    <m/>
    <s v=""/>
    <s v=""/>
    <s v=""/>
    <s v="DST - Deisoltec (04/03/2026)"/>
    <x v="0"/>
    <s v="Dual int."/>
  </r>
  <r>
    <x v="7"/>
    <x v="2"/>
    <x v="7"/>
    <x v="1"/>
    <m/>
    <s v=""/>
    <s v=""/>
    <s v=""/>
    <s v="Larian Studios Spain SL (04/03/2026)"/>
    <x v="1"/>
    <s v=""/>
  </r>
  <r>
    <x v="7"/>
    <x v="2"/>
    <x v="8"/>
    <x v="1"/>
    <m/>
    <s v=""/>
    <s v=""/>
    <s v=""/>
    <s v="Fundación Randstad (04/03/2026)"/>
    <x v="1"/>
    <s v=""/>
  </r>
  <r>
    <x v="7"/>
    <x v="6"/>
    <x v="8"/>
    <x v="0"/>
    <m/>
    <s v="Fernandes Teixeira, Sebastian Samuel"/>
    <s v=""/>
    <s v=""/>
    <s v="Fundación Randstad (04/03/2026)"/>
    <x v="0"/>
    <s v="Dual int."/>
  </r>
  <r>
    <x v="8"/>
    <x v="2"/>
    <x v="8"/>
    <x v="6"/>
    <s v="Volen alumnes amb discapacitat per enviar-los afer pràctiques a Nestlé"/>
    <s v=""/>
    <s v=""/>
    <s v=""/>
    <s v="Fundación Randstad (05/03/2026)"/>
    <x v="1"/>
    <s v=""/>
  </r>
  <r>
    <x v="8"/>
    <x v="4"/>
    <x v="2"/>
    <x v="3"/>
    <m/>
    <s v=""/>
    <s v="Benítes Zambrano, David"/>
    <s v=""/>
    <s v="OUA Gestió del Territori i Urbanisme S. L. (05/03/2026)"/>
    <x v="0"/>
    <s v="Entrevista Dual int."/>
  </r>
  <r>
    <x v="8"/>
    <x v="6"/>
    <x v="2"/>
    <x v="3"/>
    <m/>
    <s v=""/>
    <s v="Fernandes Teixeira, Sebastian Samuel"/>
    <s v=""/>
    <s v="OUA Gestió del Territori i Urbanisme S. L. (05/03/2026)"/>
    <x v="0"/>
    <s v="Dual int."/>
  </r>
  <r>
    <x v="9"/>
    <x v="1"/>
    <x v="0"/>
    <x v="3"/>
    <m/>
    <s v=""/>
    <s v="Rodríguez González, Mario"/>
    <s v=""/>
    <s v="TOBEIT SL (06/03/2026)"/>
    <x v="0"/>
    <s v="Entrevista Dual int."/>
  </r>
  <r>
    <x v="10"/>
    <x v="2"/>
    <x v="7"/>
    <x v="4"/>
    <s v="Vol 1 alumne en pràctiques"/>
    <s v=""/>
    <s v=""/>
    <s v=""/>
    <s v="Larian Studios Spain SL (09/03/2026)"/>
    <x v="1"/>
    <s v=""/>
  </r>
  <r>
    <x v="10"/>
    <x v="1"/>
    <x v="7"/>
    <x v="0"/>
    <m/>
    <s v="Rodríguez González, Mario"/>
    <s v=""/>
    <s v=""/>
    <s v="Larian Studios Spain SL (09/03/2026)"/>
    <x v="0"/>
    <s v="Entrevista Dual int."/>
  </r>
  <r>
    <x v="10"/>
    <x v="4"/>
    <x v="7"/>
    <x v="0"/>
    <m/>
    <s v="Benítes Zambrano, David"/>
    <s v=""/>
    <s v=""/>
    <s v="Larian Studios Spain SL (09/03/2026)"/>
    <x v="0"/>
    <s v="Entrevista Dual int."/>
  </r>
  <r>
    <x v="10"/>
    <x v="5"/>
    <x v="3"/>
    <x v="7"/>
    <m/>
    <s v=""/>
    <s v=""/>
    <s v=""/>
    <s v="DST - Deisoltec (09/03/2026)"/>
    <x v="0"/>
    <s v="Dual int."/>
  </r>
  <r>
    <x v="11"/>
    <x v="8"/>
    <x v="4"/>
    <x v="0"/>
    <m/>
    <s v="Corbelle Padin, Iago"/>
    <s v=""/>
    <s v=""/>
    <s v="Plural Informática (10/03/2026)"/>
    <x v="2"/>
    <s v="Entrevista Dual gen."/>
  </r>
  <r>
    <x v="11"/>
    <x v="9"/>
    <x v="4"/>
    <x v="0"/>
    <m/>
    <s v="Guillamon Uzñate, Arnau"/>
    <s v=""/>
    <s v=""/>
    <s v="Plural Informática (10/03/2026)"/>
    <x v="2"/>
    <s v="Entrevista Dual gen."/>
  </r>
  <r>
    <x v="12"/>
    <x v="0"/>
    <x v="0"/>
    <x v="5"/>
    <m/>
    <s v=""/>
    <s v=""/>
    <s v=""/>
    <s v="TOBEIT SL (11/03/2026)"/>
    <x v="0"/>
    <s v="Dual int."/>
  </r>
  <r>
    <x v="12"/>
    <x v="2"/>
    <x v="9"/>
    <x v="4"/>
    <s v="Contacte inicial per parlar del conveni del Marc Ricote"/>
    <s v=""/>
    <s v=""/>
    <s v=""/>
    <s v="Frigicoll (11/03/2026)"/>
    <x v="1"/>
    <s v=""/>
  </r>
  <r>
    <x v="12"/>
    <x v="2"/>
    <x v="10"/>
    <x v="1"/>
    <m/>
    <s v=""/>
    <s v=""/>
    <s v=""/>
    <s v="Sirt (11/03/2026)"/>
    <x v="1"/>
    <s v=""/>
  </r>
  <r>
    <x v="12"/>
    <x v="10"/>
    <x v="11"/>
    <x v="0"/>
    <m/>
    <s v="Simarro González, Izan"/>
    <s v=""/>
    <s v=""/>
    <s v="DeInfo (11/03/2026)"/>
    <x v="2"/>
    <s v="Entrevista Dual gen."/>
  </r>
  <r>
    <x v="12"/>
    <x v="11"/>
    <x v="11"/>
    <x v="0"/>
    <m/>
    <s v="Lucas Jerez, Hector"/>
    <s v=""/>
    <s v=""/>
    <s v="DeInfo (11/03/2026)"/>
    <x v="2"/>
    <s v="Dual gen."/>
  </r>
  <r>
    <x v="13"/>
    <x v="10"/>
    <x v="11"/>
    <x v="3"/>
    <m/>
    <s v=""/>
    <s v="Simarro González, Izan"/>
    <s v=""/>
    <s v="DeInfo (19/03/2026)"/>
    <x v="2"/>
    <s v="Entrevista Dual gen."/>
  </r>
  <r>
    <x v="13"/>
    <x v="11"/>
    <x v="11"/>
    <x v="5"/>
    <m/>
    <s v=""/>
    <s v=""/>
    <s v=""/>
    <s v="DeInfo (19/03/2026)"/>
    <x v="2"/>
    <s v="Dual gen."/>
  </r>
  <r>
    <x v="14"/>
    <x v="6"/>
    <x v="8"/>
    <x v="3"/>
    <m/>
    <s v=""/>
    <s v="Fernandes Teixeira, Sebastian Samuel"/>
    <s v=""/>
    <s v="Fundación Randstad (23/03/2026)"/>
    <x v="0"/>
    <s v="Dual int."/>
  </r>
  <r>
    <x v="15"/>
    <x v="11"/>
    <x v="11"/>
    <x v="7"/>
    <m/>
    <s v=""/>
    <s v=""/>
    <s v=""/>
    <s v="DeInfo (25/03/2026)"/>
    <x v="2"/>
    <s v="Dual gen."/>
  </r>
  <r>
    <x v="16"/>
    <x v="6"/>
    <x v="6"/>
    <x v="0"/>
    <m/>
    <s v="Fernandes Teixeira, Sebastian Samuel"/>
    <s v=""/>
    <s v=""/>
    <s v="Ingens-Networks (27/03/2026)"/>
    <x v="0"/>
    <s v="Dual int."/>
  </r>
  <r>
    <x v="17"/>
    <x v="2"/>
    <x v="12"/>
    <x v="4"/>
    <s v="Contacte inicial, han de decidir el tipus de pràctiques."/>
    <s v=""/>
    <s v=""/>
    <s v=""/>
    <s v="Eada (07/04/2026)"/>
    <x v="1"/>
    <s v=""/>
  </r>
  <r>
    <x v="18"/>
    <x v="2"/>
    <x v="13"/>
    <x v="1"/>
    <m/>
    <s v=""/>
    <s v=""/>
    <s v=""/>
    <s v="NetLand (10/04/2026)"/>
    <x v="1"/>
    <s v=""/>
  </r>
  <r>
    <x v="18"/>
    <x v="2"/>
    <x v="14"/>
    <x v="1"/>
    <m/>
    <s v=""/>
    <s v=""/>
    <s v=""/>
    <s v="Servei Meteorologic (10/04/2026)"/>
    <x v="1"/>
    <s v=""/>
  </r>
  <r>
    <x v="19"/>
    <x v="12"/>
    <x v="12"/>
    <x v="0"/>
    <m/>
    <s v="Miller Villalobos, Sheila"/>
    <s v=""/>
    <s v=""/>
    <s v="Eada (15/04/2026)"/>
    <x v="2"/>
    <s v="Entrevista Dual gen."/>
  </r>
  <r>
    <x v="19"/>
    <x v="13"/>
    <x v="12"/>
    <x v="0"/>
    <m/>
    <s v="Xu, Montserrat"/>
    <s v=""/>
    <s v=""/>
    <s v="Eada (15/04/2026)"/>
    <x v="2"/>
    <s v="Entrevista Dual gen."/>
  </r>
  <r>
    <x v="19"/>
    <x v="3"/>
    <x v="14"/>
    <x v="0"/>
    <m/>
    <s v="Jurado Borrell, Hugo"/>
    <s v=""/>
    <s v=""/>
    <s v="Servei Meteorologic (15/04/2026)"/>
    <x v="0"/>
    <s v="Entrevista Dual int."/>
  </r>
  <r>
    <x v="19"/>
    <x v="1"/>
    <x v="15"/>
    <x v="0"/>
    <m/>
    <s v="Rodríguez González, Mario"/>
    <s v=""/>
    <s v=""/>
    <s v="Deutsche Telekom Global Business ( T-Systems) (15/04/2026)"/>
    <x v="0"/>
    <s v="Entrevista Dual int."/>
  </r>
  <r>
    <x v="19"/>
    <x v="4"/>
    <x v="15"/>
    <x v="0"/>
    <m/>
    <s v="Benítes Zambrano, David"/>
    <s v=""/>
    <s v=""/>
    <s v="Deutsche Telekom Global Business ( T-Systems) (15/04/2026)"/>
    <x v="0"/>
    <s v="Entrevista Dual int."/>
  </r>
  <r>
    <x v="20"/>
    <x v="2"/>
    <x v="16"/>
    <x v="1"/>
    <m/>
    <s v=""/>
    <s v=""/>
    <s v=""/>
    <s v="Atrevia (15/01/1900)"/>
    <x v="1"/>
    <s v=""/>
  </r>
  <r>
    <x v="21"/>
    <x v="12"/>
    <x v="12"/>
    <x v="8"/>
    <m/>
    <s v=""/>
    <s v=""/>
    <s v="Miller Villalobos, Sheila"/>
    <s v="Eada (16/04/2026)"/>
    <x v="2"/>
    <s v="Entrevista Dual gen."/>
  </r>
  <r>
    <x v="21"/>
    <x v="13"/>
    <x v="12"/>
    <x v="8"/>
    <m/>
    <s v=""/>
    <s v=""/>
    <s v="Xu, Montserrat"/>
    <s v="Eada (16/04/2026)"/>
    <x v="2"/>
    <s v="Entrevista Dual gen."/>
  </r>
  <r>
    <x v="22"/>
    <x v="2"/>
    <x v="6"/>
    <x v="4"/>
    <s v="Estan pensant si agafar un o els dos alumnes"/>
    <s v=""/>
    <s v=""/>
    <s v=""/>
    <s v="Ingens-Networks (20/04/2026)"/>
    <x v="1"/>
    <s v=""/>
  </r>
  <r>
    <x v="23"/>
    <x v="2"/>
    <x v="16"/>
    <x v="1"/>
    <s v="Contacte per quedar més tard"/>
    <s v=""/>
    <s v=""/>
    <s v=""/>
    <s v="Atrevia (22/04/2026)"/>
    <x v="1"/>
    <s v=""/>
  </r>
  <r>
    <x v="24"/>
    <x v="2"/>
    <x v="14"/>
    <x v="6"/>
    <s v="Perfil: Windows+PS / Linux+Python / Autònom"/>
    <s v=""/>
    <s v=""/>
    <s v=""/>
    <s v="Servei Meteorologic (23/04/2026)"/>
    <x v="1"/>
    <s v=""/>
  </r>
  <r>
    <x v="24"/>
    <x v="14"/>
    <x v="14"/>
    <x v="0"/>
    <m/>
    <s v="Bonfil Valldeperas, Arnau"/>
    <s v=""/>
    <s v=""/>
    <s v="Servei Meteorologic (23/04/2026)"/>
    <x v="0"/>
    <s v="Entrevista Dual int."/>
  </r>
  <r>
    <x v="24"/>
    <x v="15"/>
    <x v="14"/>
    <x v="0"/>
    <m/>
    <s v="Chavero Grande, Pau"/>
    <s v=""/>
    <s v=""/>
    <s v="Servei Meteorologic (23/04/2026)"/>
    <x v="0"/>
    <s v="Entrevista Dual int."/>
  </r>
  <r>
    <x v="24"/>
    <x v="6"/>
    <x v="6"/>
    <x v="5"/>
    <m/>
    <s v=""/>
    <s v=""/>
    <s v=""/>
    <s v="Ingens-Networks (23/04/2026)"/>
    <x v="0"/>
    <s v="Dual int."/>
  </r>
  <r>
    <x v="25"/>
    <x v="2"/>
    <x v="17"/>
    <x v="4"/>
    <s v="Volen un alumne de Dual General_x000a_Li pagen a 100€/hora/mes"/>
    <s v=""/>
    <s v=""/>
    <s v=""/>
    <s v="Vanture ESS (27/04/2026)"/>
    <x v="1"/>
    <s v=""/>
  </r>
  <r>
    <x v="21"/>
    <x v="12"/>
    <x v="12"/>
    <x v="3"/>
    <m/>
    <s v=""/>
    <s v="Miller Villalobos, Sheila"/>
    <s v=""/>
    <s v="Eada (16/04/2026)"/>
    <x v="2"/>
    <s v="Entrevista Dual gen."/>
  </r>
  <r>
    <x v="21"/>
    <x v="13"/>
    <x v="12"/>
    <x v="3"/>
    <m/>
    <s v=""/>
    <s v="Xu, Montserrat"/>
    <s v=""/>
    <s v="Eada (16/04/2026)"/>
    <x v="2"/>
    <s v="Entrevista Dual gen."/>
  </r>
  <r>
    <x v="25"/>
    <x v="12"/>
    <x v="17"/>
    <x v="0"/>
    <m/>
    <s v="Miller Villalobos, Sheila"/>
    <s v=""/>
    <s v=""/>
    <s v="Vanture ESS (27/04/2026)"/>
    <x v="2"/>
    <s v="Entrevista Dual gen."/>
  </r>
  <r>
    <x v="25"/>
    <x v="13"/>
    <x v="17"/>
    <x v="0"/>
    <m/>
    <s v="Xu, Montserrat"/>
    <s v=""/>
    <s v=""/>
    <s v="Vanture ESS (27/04/2026)"/>
    <x v="2"/>
    <s v="Entrevista Dual gen."/>
  </r>
  <r>
    <x v="25"/>
    <x v="10"/>
    <x v="17"/>
    <x v="0"/>
    <m/>
    <s v="Simarro González, Izan"/>
    <s v=""/>
    <s v=""/>
    <s v="Vanture ESS (27/04/2026)"/>
    <x v="2"/>
    <s v="Entrevista Dual gen."/>
  </r>
  <r>
    <x v="26"/>
    <x v="12"/>
    <x v="17"/>
    <x v="3"/>
    <m/>
    <s v=""/>
    <s v="Miller Villalobos, Sheila"/>
    <s v=""/>
    <s v="Vanture ESS (28/04/2026)"/>
    <x v="2"/>
    <s v="Entrevista Dual gen."/>
  </r>
  <r>
    <x v="26"/>
    <x v="10"/>
    <x v="17"/>
    <x v="3"/>
    <m/>
    <s v=""/>
    <s v="Simarro González, Izan"/>
    <s v=""/>
    <s v="Vanture ESS (28/04/2026)"/>
    <x v="2"/>
    <s v="Entrevista Dual gen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CV"/>
    <s v="Aguayo Barrientos"/>
    <s v="Jose Wigberto"/>
    <x v="0"/>
    <n v="0"/>
    <n v="0"/>
    <x v="0"/>
    <m/>
    <s v="Z3653609H"/>
    <d v="2007-08-13T00:00:00"/>
    <s v="19 anys"/>
    <n v="642186131"/>
    <n v="631765167"/>
    <s v="AGBA 0 070813 00 9"/>
    <s v="-"/>
    <s v="jw.aguayo.25@sarria.salesians.cat"/>
    <s v="BV-2041 KM 3.5 GAVA"/>
    <s v="GAVA"/>
    <n v="8850"/>
    <m/>
    <x v="0"/>
    <x v="0"/>
    <s v="Sense empresa"/>
    <m/>
    <m/>
    <m/>
    <m/>
    <m/>
    <m/>
    <m/>
    <m/>
    <m/>
  </r>
  <r>
    <n v="2"/>
    <s v="CV"/>
    <s v="Almendros García"/>
    <s v="Javier"/>
    <x v="1"/>
    <n v="1"/>
    <n v="0"/>
    <x v="1"/>
    <m/>
    <s v="47593525Q"/>
    <d v="2007-03-26T00:00:00"/>
    <s v="19 anys"/>
    <n v="689066146"/>
    <n v="636873498"/>
    <s v="ALGA 0 070320 00 2"/>
    <n v="81272358665"/>
    <s v="javier.almendros@sarria.salesians.cat"/>
    <s v="carretera reial 79"/>
    <s v="Sant Just Desvern"/>
    <n v="8960"/>
    <m/>
    <x v="1"/>
    <x v="1"/>
    <s v="DST - Deisoltec"/>
    <s v="ALBERTO VALLE BOSACOMA"/>
    <n v="930096914"/>
    <s v="av@dst.es"/>
    <s v="46743326N"/>
    <d v="2026-04-01T00:00:00"/>
    <d v="2027-04-30T00:00:00"/>
    <n v="1000"/>
    <m/>
    <m/>
  </r>
  <r>
    <n v="3"/>
    <s v="CV"/>
    <s v="Barrios López"/>
    <s v="Iván"/>
    <x v="2"/>
    <n v="0"/>
    <n v="0"/>
    <x v="0"/>
    <m/>
    <s v="48143710H"/>
    <d v="2007-03-13T00:00:00"/>
    <s v="19 anys"/>
    <n v="622851303"/>
    <n v="936562572"/>
    <s v="BALO 0 070313 00 9"/>
    <n v="81472398735"/>
    <s v="ivan.barrios@sarria.salesians.cat"/>
    <s v="C/Salvador Allende, 7-11"/>
    <s v="Sant Vicenç desl Horts"/>
    <n v="8620"/>
    <m/>
    <x v="2"/>
    <x v="0"/>
    <s v="Sense empresa"/>
    <m/>
    <m/>
    <m/>
    <m/>
    <m/>
    <m/>
    <m/>
    <m/>
    <m/>
  </r>
  <r>
    <n v="4"/>
    <s v="CV"/>
    <s v="Benítes Zambrano"/>
    <s v="David"/>
    <x v="3"/>
    <n v="4"/>
    <n v="2"/>
    <x v="0"/>
    <m/>
    <s v="48096252D"/>
    <d v="2005-12-07T00:00:00"/>
    <s v="20 anys"/>
    <n v="617342497"/>
    <n v="617342497"/>
    <s v="BEZA 0 051207 00 7"/>
    <n v="81473104108"/>
    <s v="david.benites@sarria.salesians.cat"/>
    <s v="Rambla de Mercedes, 14"/>
    <s v="Barcelona"/>
    <n v="8024"/>
    <m/>
    <x v="1"/>
    <x v="2"/>
    <s v="Larian Studios Spain SL"/>
    <m/>
    <m/>
    <m/>
    <m/>
    <m/>
    <m/>
    <m/>
    <m/>
    <m/>
  </r>
  <r>
    <n v="5"/>
    <s v="CV"/>
    <s v="Bonfil Valldeperas"/>
    <s v="Arnau"/>
    <x v="4"/>
    <n v="1"/>
    <n v="0"/>
    <x v="0"/>
    <s v="A partir de Juny"/>
    <s v="23867160Z"/>
    <d v="2007-09-17T00:00:00"/>
    <s v="19 anys"/>
    <n v="638383900"/>
    <n v="937772211"/>
    <s v="BOVA 0 070917 00 3"/>
    <n v="81472197459"/>
    <s v="arnau.bonfil@sarria.salesians.cat"/>
    <s v="Carrer d'Amadeu Vives 15 1r 3ra"/>
    <s v="Esparreguera"/>
    <n v="8292"/>
    <m/>
    <x v="1"/>
    <x v="2"/>
    <s v="Servei Meteorologic"/>
    <m/>
    <m/>
    <m/>
    <m/>
    <m/>
    <m/>
    <m/>
    <m/>
    <m/>
  </r>
  <r>
    <n v="6"/>
    <s v="CV"/>
    <s v="Camps Atmetller"/>
    <s v="Jan"/>
    <x v="5"/>
    <n v="0"/>
    <n v="0"/>
    <x v="0"/>
    <s v="Convalidarà"/>
    <s v="48214499J"/>
    <d v="2007-06-06T00:00:00"/>
    <s v="19 anys"/>
    <n v="722586444"/>
    <n v="936974496"/>
    <s v="CAAT 0 070606 01 5"/>
    <n v="281595167663"/>
    <s v="jan.camps@sarria.salesians.cat"/>
    <s v="Carrer Sant Jaume nº 31"/>
    <s v="Rubí"/>
    <n v="8191"/>
    <m/>
    <x v="3"/>
    <x v="0"/>
    <s v="Sense empresa"/>
    <m/>
    <m/>
    <m/>
    <m/>
    <m/>
    <m/>
    <m/>
    <m/>
    <m/>
  </r>
  <r>
    <n v="7"/>
    <s v="CV"/>
    <s v="Cebrián Piñeiro"/>
    <s v="Rocco"/>
    <x v="6"/>
    <n v="0"/>
    <n v="0"/>
    <x v="0"/>
    <m/>
    <s v="49820745P"/>
    <d v="2007-10-23T00:00:00"/>
    <s v="19 anys"/>
    <n v="676023741"/>
    <n v="656321228"/>
    <s v="CEPI 0 071023 00 5"/>
    <n v="81379105448"/>
    <s v="rocco.cebrian@sarria.salesians.cat"/>
    <s v="Carolina catasus i bosch"/>
    <s v="Sant Feliu de Llobregat"/>
    <n v="8980"/>
    <m/>
    <x v="0"/>
    <x v="0"/>
    <s v="Sense empresa"/>
    <m/>
    <m/>
    <m/>
    <m/>
    <m/>
    <m/>
    <m/>
    <m/>
    <m/>
  </r>
  <r>
    <n v="8"/>
    <s v="CV"/>
    <s v="Chavero Grande"/>
    <s v="Pau"/>
    <x v="7"/>
    <n v="1"/>
    <n v="0"/>
    <x v="0"/>
    <m/>
    <s v="39479024F"/>
    <d v="2006-12-27T00:00:00"/>
    <s v="19 anys"/>
    <n v="691095180"/>
    <n v="933501731"/>
    <s v="CHGR 0 061227 00 5"/>
    <n v="81472172096"/>
    <s v="pau.chavero@sarria.salesians.cat"/>
    <s v="Carrer del japò 29 2-2"/>
    <s v="Barcelona"/>
    <n v="8016"/>
    <m/>
    <x v="1"/>
    <x v="2"/>
    <s v="Servei Meteorologic"/>
    <m/>
    <m/>
    <m/>
    <m/>
    <m/>
    <m/>
    <m/>
    <m/>
    <m/>
  </r>
  <r>
    <n v="10"/>
    <s v="CV"/>
    <s v="Corbelle Padin"/>
    <s v="Iago"/>
    <x v="8"/>
    <n v="1"/>
    <n v="0"/>
    <x v="0"/>
    <m/>
    <s v="45182681D"/>
    <d v="2007-07-28T00:00:00"/>
    <s v="19 anys"/>
    <n v="648635894"/>
    <n v="936651676"/>
    <s v="COPA 0 070728 00 9"/>
    <n v="81472194126"/>
    <s v="iago.corbelle@sarria.salesians.cat"/>
    <s v="Av 300 n83"/>
    <s v="Castelldefels"/>
    <n v="8860"/>
    <m/>
    <x v="0"/>
    <x v="3"/>
    <s v="Plural Informática"/>
    <m/>
    <m/>
    <m/>
    <m/>
    <m/>
    <m/>
    <m/>
    <m/>
    <m/>
  </r>
  <r>
    <n v="11"/>
    <s v="CV"/>
    <s v="Dublanche"/>
    <s v="Alexis Stéphane Fran"/>
    <x v="9"/>
    <n v="1"/>
    <n v="0"/>
    <x v="0"/>
    <m/>
    <s v="Y4571921H"/>
    <d v="2006-10-24T00:00:00"/>
    <s v="20 anys"/>
    <n v="663082944"/>
    <n v="695456973"/>
    <s v="DUBL 0 061024 00 9"/>
    <n v="81513502685"/>
    <s v="asf.dublanche@sarria.salesians.cat"/>
    <s v="Carrer del Dipòsit, 6"/>
    <s v="Sant Cugat del Vallès"/>
    <n v="8198"/>
    <m/>
    <x v="1"/>
    <x v="2"/>
    <s v="Ingens-Networks"/>
    <m/>
    <m/>
    <m/>
    <m/>
    <m/>
    <m/>
    <m/>
    <m/>
    <m/>
  </r>
  <r>
    <n v="13"/>
    <s v="CV"/>
    <s v="Espejo Martínez"/>
    <s v="Ivan"/>
    <x v="10"/>
    <n v="1"/>
    <n v="0"/>
    <x v="1"/>
    <m/>
    <s v="47264213H"/>
    <d v="2006-01-17T00:00:00"/>
    <s v="20 anys"/>
    <n v="679330382"/>
    <n v="933360808"/>
    <s v="ESMA 0 060117 00 9"/>
    <n v="81472210391"/>
    <s v="ivan.espejo@sarria.salesians.cat"/>
    <s v="Carrer Igualtat 51-53 1rA Esc.Izq"/>
    <s v="L'Hospitalet de Llobregat"/>
    <n v="8902"/>
    <m/>
    <x v="1"/>
    <x v="1"/>
    <s v="TOBEIT SL"/>
    <s v="Daniel Roldan Buades"/>
    <n v="637205861"/>
    <s v="d.roldan@tobeit.es"/>
    <s v="48575707Y"/>
    <d v="2026-04-07T00:00:00"/>
    <d v="2027-02-19T00:00:00"/>
    <n v="1014"/>
    <m/>
    <m/>
  </r>
  <r>
    <n v="14"/>
    <s v="CV"/>
    <s v="Farré Marín"/>
    <s v="Joan"/>
    <x v="11"/>
    <n v="0"/>
    <n v="0"/>
    <x v="0"/>
    <m/>
    <s v="48073477G"/>
    <d v="2006-03-06T00:00:00"/>
    <s v="20 anys"/>
    <n v="673319530"/>
    <m/>
    <s v="FAMA 0 060306 00 2"/>
    <n v="81499953910"/>
    <s v="joan.farre.25@sarria.salesians.cat"/>
    <s v="C: Ma Aurelia Capmany 18, 1-1"/>
    <s v="Cornella De Llobregat"/>
    <n v="8940"/>
    <m/>
    <x v="2"/>
    <x v="0"/>
    <s v="Sense empresa"/>
    <m/>
    <m/>
    <m/>
    <m/>
    <m/>
    <m/>
    <m/>
    <m/>
    <m/>
  </r>
  <r>
    <n v="15"/>
    <s v="CV"/>
    <s v="Fernandes Teixeira"/>
    <s v="Sebastian Samuel"/>
    <x v="12"/>
    <n v="3"/>
    <n v="2"/>
    <x v="1"/>
    <m/>
    <s v="Y5172222L"/>
    <d v="2005-04-26T00:00:00"/>
    <s v="21 anys"/>
    <n v="662933188"/>
    <n v="698309619"/>
    <s v="FETE 0 050426 00 4"/>
    <n v="81357068563"/>
    <s v="ss.fernandes@sarria.salesians.cat"/>
    <s v="Avinguda del Puig de Rimila 10"/>
    <s v="Sant Cugat del Vallès"/>
    <n v="8173"/>
    <m/>
    <x v="1"/>
    <x v="1"/>
    <s v="Ingens-Networks"/>
    <m/>
    <m/>
    <m/>
    <m/>
    <m/>
    <m/>
    <m/>
    <m/>
    <m/>
  </r>
  <r>
    <n v="16"/>
    <s v="CV"/>
    <s v="Gallego Pérez"/>
    <s v="Dídac"/>
    <x v="13"/>
    <n v="0"/>
    <n v="0"/>
    <x v="0"/>
    <s v="El van fer fora de l'empresa"/>
    <s v="49931779K"/>
    <d v="2006-05-03T00:00:00"/>
    <s v="20 anys"/>
    <n v="651854058"/>
    <n v="622543517"/>
    <s v=""/>
    <s v="-"/>
    <s v="didac.gallego@sarria.salesians.cat"/>
    <s v=""/>
    <s v=""/>
    <s v=""/>
    <m/>
    <x v="2"/>
    <x v="0"/>
    <s v="Sense empresa"/>
    <m/>
    <m/>
    <m/>
    <m/>
    <m/>
    <m/>
    <m/>
    <m/>
    <m/>
  </r>
  <r>
    <n v="17"/>
    <s v="CV"/>
    <s v="Guerra Alberti"/>
    <s v="Edgar"/>
    <x v="14"/>
    <n v="0"/>
    <n v="0"/>
    <x v="0"/>
    <s v="Ell proposa empresa"/>
    <s v="39403670R"/>
    <d v="1994-02-02T00:00:00"/>
    <s v="32 anys"/>
    <n v="691138993"/>
    <m/>
    <s v="GUAL 0 940202 00 2"/>
    <n v="81217190826"/>
    <s v="edgar.guerra.25@sarria.salesians.cat"/>
    <s v="Rambla Badal 36, 5-2, Escalera B"/>
    <s v="Barcelona"/>
    <n v="8014"/>
    <m/>
    <x v="1"/>
    <x v="0"/>
    <s v="Sense empresa"/>
    <m/>
    <m/>
    <m/>
    <m/>
    <m/>
    <m/>
    <m/>
    <m/>
    <m/>
  </r>
  <r>
    <n v="18"/>
    <s v="CV"/>
    <s v="Guillamon Uzñate"/>
    <s v="Arnau"/>
    <x v="15"/>
    <n v="1"/>
    <n v="0"/>
    <x v="0"/>
    <m/>
    <s v="49782841P"/>
    <d v="2006-12-12T00:00:00"/>
    <s v="19 anys"/>
    <n v="645922414"/>
    <n v="934742414"/>
    <s v="GUUZ 0 061212 00 3"/>
    <n v="81377464734"/>
    <s v="arnau.guillamon@sarria.salesians.cat"/>
    <s v="Joana Raspall 11"/>
    <s v="Sant Feliu de Llobregat"/>
    <n v="8980"/>
    <m/>
    <x v="0"/>
    <x v="3"/>
    <s v="Plural Informática"/>
    <m/>
    <m/>
    <m/>
    <m/>
    <m/>
    <m/>
    <m/>
    <m/>
    <m/>
  </r>
  <r>
    <n v="19"/>
    <s v="CV"/>
    <s v="Jurado Borrell"/>
    <s v="Hugo"/>
    <x v="16"/>
    <n v="2"/>
    <n v="0"/>
    <x v="0"/>
    <m/>
    <s v="23926317S"/>
    <d v="2007-03-21T00:00:00"/>
    <s v="19 anys"/>
    <n v="639339785"/>
    <n v="639339785"/>
    <s v="JUBO 0 070321 00 5"/>
    <n v="81378007227"/>
    <s v="hugo.jurado@sarria.salesians.cat"/>
    <s v="Avinguda de Josep Ferrer i Domingo, 4"/>
    <s v="Rubí"/>
    <n v="8191"/>
    <m/>
    <x v="1"/>
    <x v="2"/>
    <s v="Servei Meteorologic"/>
    <m/>
    <m/>
    <m/>
    <m/>
    <m/>
    <m/>
    <m/>
    <m/>
    <m/>
  </r>
  <r>
    <n v="20"/>
    <s v="CV"/>
    <s v="Lucas Jerez"/>
    <s v="Hector"/>
    <x v="17"/>
    <n v="1"/>
    <n v="0"/>
    <x v="1"/>
    <m/>
    <s v="49287946G"/>
    <d v="2007-06-25T00:00:00"/>
    <s v="19 anys"/>
    <n v="607407685"/>
    <n v="937759573"/>
    <s v="LUJE 0 070625 00 5"/>
    <n v="81472197863"/>
    <s v="hector.lucas@sarria.salesians.cat"/>
    <s v="Carrer Ullastrell, 38 08630 Abrera, Barcelona"/>
    <s v="Abrera"/>
    <n v="8630"/>
    <m/>
    <x v="0"/>
    <x v="4"/>
    <s v="DeInfo"/>
    <s v="Guillermo Puig Sans"/>
    <n v="934176400"/>
    <s v="gpuig@deinfo.es"/>
    <s v="46126178T"/>
    <d v="2026-04-07T00:00:00"/>
    <d v="2026-06-30T00:00:00"/>
    <n v="320"/>
    <s v="Faltaran hores"/>
    <m/>
  </r>
  <r>
    <n v="22"/>
    <s v="CV"/>
    <s v="Miller Villalobos"/>
    <s v="Sheila"/>
    <x v="18"/>
    <n v="2"/>
    <n v="3"/>
    <x v="0"/>
    <m/>
    <s v="49184848S"/>
    <d v="2007-08-28T00:00:00"/>
    <s v="19 anys"/>
    <n v="602464071"/>
    <n v="691041967"/>
    <s v="MIVI 1 070828 00 6"/>
    <n v="81516553236"/>
    <s v="sheila.miller.25@sarria.salesians.cat"/>
    <s v="Carrer Mineria 1, esc.A, pis 5, porta 8"/>
    <s v="Barcelona"/>
    <n v="8038"/>
    <m/>
    <x v="0"/>
    <x v="3"/>
    <s v="Vanture ESS"/>
    <m/>
    <m/>
    <m/>
    <m/>
    <m/>
    <m/>
    <m/>
    <m/>
    <m/>
  </r>
  <r>
    <n v="23"/>
    <s v="CV"/>
    <s v="Miravete Núñez"/>
    <s v="Tristan"/>
    <x v="19"/>
    <n v="0"/>
    <n v="0"/>
    <x v="0"/>
    <m/>
    <s v="51289091B"/>
    <d v="2004-06-03T00:00:00"/>
    <s v="22 anys"/>
    <n v="672729689"/>
    <n v="664837283"/>
    <s v="MINU 0 040603 00 4"/>
    <n v="81345281346"/>
    <s v="tristan.miravete@sarria.salesians.cat"/>
    <s v="Carrer Calabria 33 5,2"/>
    <s v="Barcelona"/>
    <n v="8015"/>
    <m/>
    <x v="0"/>
    <x v="0"/>
    <s v="Sense empresa"/>
    <m/>
    <m/>
    <m/>
    <m/>
    <m/>
    <m/>
    <m/>
    <m/>
    <m/>
  </r>
  <r>
    <n v="24"/>
    <s v="CV"/>
    <s v="Pérez Hernando"/>
    <s v="Álvaro"/>
    <x v="20"/>
    <n v="0"/>
    <n v="0"/>
    <x v="0"/>
    <m/>
    <s v="48143661S"/>
    <d v="2006-11-14T00:00:00"/>
    <s v="19 anys"/>
    <n v="663910905"/>
    <n v="678348239"/>
    <s v="PEHE 0 061114 00 1"/>
    <n v="81473024686"/>
    <s v="alvaro.perez@sarria.salesians.cat"/>
    <s v="Carrer Enric Prat de la Riba, 43"/>
    <s v="Gelida"/>
    <n v="8790"/>
    <m/>
    <x v="2"/>
    <x v="0"/>
    <s v="Sense empresa"/>
    <m/>
    <m/>
    <m/>
    <m/>
    <m/>
    <m/>
    <m/>
    <m/>
    <m/>
  </r>
  <r>
    <n v="25"/>
    <s v="CV"/>
    <s v="Pesado Flores"/>
    <s v="Samuel"/>
    <x v="21"/>
    <n v="0"/>
    <n v="0"/>
    <x v="0"/>
    <m/>
    <s v="49550677Y"/>
    <d v="2007-10-10T00:00:00"/>
    <s v="19 anys"/>
    <n v="640862329"/>
    <n v="640862329"/>
    <s v="PEFL 0 071010 00 3"/>
    <n v="81472251013"/>
    <s v="samuel.pesado@sarria.salesians.cat"/>
    <s v="cami de can oriol"/>
    <s v="Rubí"/>
    <n v="8191"/>
    <m/>
    <x v="2"/>
    <x v="0"/>
    <s v="Sense empresa"/>
    <m/>
    <m/>
    <m/>
    <m/>
    <m/>
    <m/>
    <m/>
    <m/>
    <m/>
  </r>
  <r>
    <n v="26"/>
    <s v="CV"/>
    <s v="Ricote Fernández"/>
    <s v="Marc"/>
    <x v="22"/>
    <n v="0"/>
    <n v="0"/>
    <x v="1"/>
    <s v="Ja té empresa"/>
    <s v="49323013L"/>
    <d v="2007-07-19T00:00:00"/>
    <s v="19 anys"/>
    <n v="688785765"/>
    <n v="601254487"/>
    <s v="RIFE 0 070719 00 5"/>
    <n v="81516648822"/>
    <s v="marc.ricote@sarria.salesians.cat"/>
    <s v="Passeig de la zona franca 208, ESC IZQ ATCO 2"/>
    <s v="Barcelona"/>
    <n v="8038"/>
    <m/>
    <x v="0"/>
    <x v="4"/>
    <s v="Frigicoll"/>
    <s v="DAVID SAEZ RODRIGUEZ"/>
    <n v="934803322"/>
    <s v="david.saez@frigicoll.es"/>
    <s v="46452673X"/>
    <d v="2026-04-07T00:00:00"/>
    <d v="2026-07-17T00:00:00"/>
    <n v="424"/>
    <s v="Faltaran hores"/>
    <m/>
  </r>
  <r>
    <n v="27"/>
    <s v="CV"/>
    <s v="Rodríguez González"/>
    <s v="Mario"/>
    <x v="23"/>
    <n v="3"/>
    <n v="1"/>
    <x v="0"/>
    <m/>
    <s v="54331383Q"/>
    <d v="2006-09-04T00:00:00"/>
    <s v="20 anys"/>
    <n v="644417955"/>
    <n v="616432401"/>
    <s v="ROGO 0 060904 00 3"/>
    <n v="81376947705"/>
    <s v="mario.rodriguez@sarria.salesians.cat"/>
    <s v="Carrer San Sebastián 110, Sant Cugat del Vallès"/>
    <s v="Sant Cugat del Vallès"/>
    <n v="8195"/>
    <m/>
    <x v="1"/>
    <x v="2"/>
    <s v="Larian Studios Spain SL"/>
    <m/>
    <m/>
    <m/>
    <m/>
    <m/>
    <m/>
    <m/>
    <m/>
    <m/>
  </r>
  <r>
    <n v="28"/>
    <s v="CV"/>
    <s v="Sánchez Herrera"/>
    <s v="Andres Mauricio"/>
    <x v="24"/>
    <n v="0"/>
    <n v="0"/>
    <x v="0"/>
    <m/>
    <s v="55654151Q"/>
    <d v="1996-11-07T00:00:00"/>
    <s v="29 anys"/>
    <n v="662535065"/>
    <m/>
    <s v="SAHE 0 961107 00 4"/>
    <n v="81455961679"/>
    <s v="am.sanchez.25@sarria.salesians.cat"/>
    <s v="andyvmpier@gmail.com"/>
    <s v="L'Hospitalet de Llobregat"/>
    <n v="8905"/>
    <m/>
    <x v="4"/>
    <x v="0"/>
    <s v="Sense empresa"/>
    <m/>
    <m/>
    <m/>
    <m/>
    <m/>
    <m/>
    <m/>
    <m/>
    <m/>
  </r>
  <r>
    <n v="29"/>
    <s v="CV"/>
    <s v="Simarro González"/>
    <s v="Izan"/>
    <x v="25"/>
    <n v="2"/>
    <n v="2"/>
    <x v="0"/>
    <m/>
    <s v="26060226F"/>
    <d v="2007-01-29T00:00:00"/>
    <s v="19 anys"/>
    <n v="620993816"/>
    <n v="934211118"/>
    <s v="SIGO 0 070129 00 5"/>
    <n v="81472138350"/>
    <s v="izan.simarro@sarria.salesians.cat"/>
    <s v="Carrer Gernika, 1-5, 6º 4"/>
    <s v="Barcelona"/>
    <n v="8038"/>
    <m/>
    <x v="0"/>
    <x v="3"/>
    <s v="Vanture ESS"/>
    <m/>
    <m/>
    <m/>
    <m/>
    <m/>
    <m/>
    <m/>
    <m/>
    <m/>
  </r>
  <r>
    <n v="30"/>
    <s v="CV"/>
    <s v="Xu"/>
    <s v="Montserrat"/>
    <x v="26"/>
    <n v="2"/>
    <n v="2"/>
    <x v="0"/>
    <m/>
    <s v="X9833125G"/>
    <d v="2006-07-28T00:00:00"/>
    <s v="20 anys"/>
    <n v="695210605"/>
    <n v="695210605"/>
    <s v="XUXX 1 060728 00 1"/>
    <n v="81472210694"/>
    <s v="montserrat.xu@sarria.salesians.cat"/>
    <s v="Pl. d'Europa, 14, 15A"/>
    <s v="L'Hospitalet de Llobregat"/>
    <n v="8902"/>
    <m/>
    <x v="0"/>
    <x v="3"/>
    <s v="Vanture ESS"/>
    <m/>
    <m/>
    <m/>
    <m/>
    <m/>
    <m/>
    <m/>
    <m/>
    <m/>
  </r>
  <r>
    <n v="31"/>
    <s v="CV"/>
    <s v="Xufré Prieto"/>
    <s v="Biel"/>
    <x v="27"/>
    <n v="0"/>
    <n v="0"/>
    <x v="0"/>
    <m/>
    <s v="49531031W"/>
    <d v="2007-09-29T00:00:00"/>
    <s v="19 anys"/>
    <n v="694489035"/>
    <n v="652949187"/>
    <s v="XUPR 0 070929 00 4"/>
    <n v="81471670124"/>
    <s v="biel.xufre.25@sarria.salesians.cat"/>
    <s v="Carre Sant Joan 39"/>
    <s v="Esparreguera"/>
    <n v="8292"/>
    <m/>
    <x v="2"/>
    <x v="0"/>
    <s v="Sense empresa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A78EE-1FBA-4E3B-B746-6E1DF934AFAA}" name="Resum alumnes" cacheId="1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B3:D50" firstHeaderRow="1" firstDataRow="1" firstDataCol="2" rowPageCount="1" colPageCount="1"/>
  <pivotFields count="33">
    <pivotField showAll="0"/>
    <pivotField showAll="0"/>
    <pivotField showAll="0"/>
    <pivotField dataField="1" showAll="0"/>
    <pivotField axis="axisRow" subtotalTop="0" showAll="0" sortType="ascending" defaultSubtotal="0">
      <items count="61">
        <item x="0"/>
        <item x="1"/>
        <item x="2"/>
        <item m="1" x="31"/>
        <item x="3"/>
        <item m="1" x="32"/>
        <item x="4"/>
        <item m="1" x="33"/>
        <item x="5"/>
        <item x="6"/>
        <item x="7"/>
        <item m="1" x="28"/>
        <item x="8"/>
        <item m="1" x="34"/>
        <item m="1" x="35"/>
        <item x="9"/>
        <item m="1" x="29"/>
        <item x="10"/>
        <item x="11"/>
        <item x="12"/>
        <item x="13"/>
        <item m="1" x="36"/>
        <item m="1" x="37"/>
        <item m="1" x="38"/>
        <item m="1" x="39"/>
        <item x="14"/>
        <item x="15"/>
        <item x="16"/>
        <item m="1" x="40"/>
        <item m="1" x="41"/>
        <item x="17"/>
        <item m="1" x="30"/>
        <item m="1" x="42"/>
        <item m="1" x="43"/>
        <item m="1" x="44"/>
        <item x="18"/>
        <item x="19"/>
        <item m="1" x="45"/>
        <item m="1" x="46"/>
        <item m="1" x="47"/>
        <item m="1" x="48"/>
        <item m="1" x="49"/>
        <item m="1" x="50"/>
        <item x="20"/>
        <item x="21"/>
        <item m="1" x="51"/>
        <item m="1" x="52"/>
        <item x="22"/>
        <item x="23"/>
        <item m="1" x="53"/>
        <item m="1" x="54"/>
        <item x="24"/>
        <item x="25"/>
        <item m="1" x="55"/>
        <item m="1" x="56"/>
        <item m="1" x="57"/>
        <item m="1" x="58"/>
        <item m="1" x="59"/>
        <item m="1" x="60"/>
        <item x="26"/>
        <item x="27"/>
      </items>
    </pivotField>
    <pivotField showAll="0"/>
    <pivotField showAll="0"/>
    <pivotField axis="axisPage" multipleItemSelectionAllowed="1" showAll="0" sortType="descending">
      <items count="6">
        <item sd="0" m="1" x="3"/>
        <item m="1" x="4"/>
        <item x="0"/>
        <item m="1" x="2"/>
        <item x="1"/>
        <item t="default"/>
      </items>
    </pivotField>
    <pivotField showAll="0"/>
    <pivotField showAll="0"/>
    <pivotField numFmtId="164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insertBlankRow="1" sortType="ascending" defaultSubtotal="0">
      <items count="8">
        <item m="1" x="7"/>
        <item x="3"/>
        <item x="0"/>
        <item x="1"/>
        <item x="2"/>
        <item m="1" x="5"/>
        <item x="4"/>
        <item m="1" x="6"/>
      </items>
    </pivotField>
    <pivotField axis="axisRow" showAll="0" insertBlankRow="1">
      <items count="13">
        <item m="1" x="7"/>
        <item x="4"/>
        <item x="1"/>
        <item x="3"/>
        <item m="1" x="5"/>
        <item m="1" x="10"/>
        <item m="1" x="11"/>
        <item m="1" x="9"/>
        <item m="1" x="8"/>
        <item m="1" x="6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1"/>
    <field x="22"/>
    <field x="4"/>
  </rowFields>
  <rowItems count="47">
    <i>
      <x v="1"/>
      <x v="10"/>
    </i>
    <i r="2">
      <x v="8"/>
    </i>
    <i t="blank" r="1">
      <x v="10"/>
    </i>
    <i>
      <x v="2"/>
      <x v="1"/>
    </i>
    <i r="2">
      <x v="30"/>
    </i>
    <i r="2">
      <x v="47"/>
    </i>
    <i t="blank" r="1">
      <x v="1"/>
    </i>
    <i r="1">
      <x v="3"/>
    </i>
    <i r="2">
      <x v="12"/>
    </i>
    <i r="2">
      <x v="26"/>
    </i>
    <i r="2">
      <x v="35"/>
    </i>
    <i r="2">
      <x v="52"/>
    </i>
    <i r="2">
      <x v="59"/>
    </i>
    <i t="blank" r="1">
      <x v="3"/>
    </i>
    <i r="1">
      <x v="10"/>
    </i>
    <i r="2">
      <x/>
    </i>
    <i r="2">
      <x v="9"/>
    </i>
    <i r="2">
      <x v="36"/>
    </i>
    <i t="blank" r="1">
      <x v="10"/>
    </i>
    <i>
      <x v="3"/>
      <x v="2"/>
    </i>
    <i r="2">
      <x v="1"/>
    </i>
    <i r="2">
      <x v="17"/>
    </i>
    <i r="2">
      <x v="19"/>
    </i>
    <i t="blank" r="1">
      <x v="2"/>
    </i>
    <i r="1">
      <x v="10"/>
    </i>
    <i r="2">
      <x v="25"/>
    </i>
    <i t="blank" r="1">
      <x v="10"/>
    </i>
    <i r="1">
      <x v="11"/>
    </i>
    <i r="2">
      <x v="4"/>
    </i>
    <i r="2">
      <x v="6"/>
    </i>
    <i r="2">
      <x v="10"/>
    </i>
    <i r="2">
      <x v="15"/>
    </i>
    <i r="2">
      <x v="27"/>
    </i>
    <i r="2">
      <x v="48"/>
    </i>
    <i t="blank" r="1">
      <x v="11"/>
    </i>
    <i>
      <x v="4"/>
      <x v="10"/>
    </i>
    <i r="2">
      <x v="2"/>
    </i>
    <i r="2">
      <x v="18"/>
    </i>
    <i r="2">
      <x v="20"/>
    </i>
    <i r="2">
      <x v="43"/>
    </i>
    <i r="2">
      <x v="44"/>
    </i>
    <i r="2">
      <x v="60"/>
    </i>
    <i t="blank" r="1">
      <x v="10"/>
    </i>
    <i>
      <x v="6"/>
      <x v="10"/>
    </i>
    <i r="2">
      <x v="51"/>
    </i>
    <i t="blank" r="1">
      <x v="10"/>
    </i>
    <i t="grand">
      <x/>
    </i>
  </rowItems>
  <colItems count="1">
    <i/>
  </colItems>
  <pageFields count="1">
    <pageField fld="7" hier="-1"/>
  </pageFields>
  <dataFields count="1">
    <dataField name="Recompte de No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9E605-0772-4F88-BFA8-F6FE1254B692}" name="Resum seguiment" cacheId="0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B3:D191" firstHeaderRow="1" firstDataRow="1" firstDataCol="3"/>
  <pivotFields count="11">
    <pivotField axis="axisRow" numFmtId="164" subtotalTop="0" showAll="0" sortType="ascending" defaultSubtotal="0">
      <items count="66">
        <item x="20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3"/>
        <item m="1" x="54"/>
        <item m="1" x="55"/>
        <item m="1" x="56"/>
        <item m="1" x="57"/>
        <item m="1" x="52"/>
        <item m="1" x="58"/>
        <item m="1" x="60"/>
        <item m="1" x="61"/>
        <item m="1" x="62"/>
        <item m="1" x="63"/>
        <item m="1" x="64"/>
        <item m="1" x="51"/>
        <item m="1" x="59"/>
        <item m="1" x="65"/>
        <item m="1" x="28"/>
        <item x="0"/>
        <item x="1"/>
        <item x="2"/>
        <item m="1" x="27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</items>
    </pivotField>
    <pivotField axis="axisRow" outline="0" showAll="0" defaultSubtotal="0">
      <items count="34">
        <item m="1" x="25"/>
        <item m="1" x="23"/>
        <item m="1" x="18"/>
        <item m="1" x="26"/>
        <item m="1" x="24"/>
        <item m="1" x="19"/>
        <item m="1" x="21"/>
        <item m="1" x="22"/>
        <item m="1" x="17"/>
        <item m="1" x="27"/>
        <item m="1" x="20"/>
        <item m="1" x="28"/>
        <item x="2"/>
        <item m="1" x="29"/>
        <item m="1" x="30"/>
        <item m="1" x="31"/>
        <item m="1" x="32"/>
        <item m="1" x="33"/>
        <item x="0"/>
        <item x="1"/>
        <item m="1" x="16"/>
        <item x="3"/>
        <item x="4"/>
        <item x="5"/>
        <item x="6"/>
        <item x="8"/>
        <item x="9"/>
        <item x="7"/>
        <item x="10"/>
        <item x="11"/>
        <item x="12"/>
        <item x="13"/>
        <item x="14"/>
        <item x="15"/>
      </items>
    </pivotField>
    <pivotField axis="axisRow" showAll="0" sortType="ascending" defaultSubtotal="0">
      <items count="56">
        <item m="1" x="22"/>
        <item m="1" x="53"/>
        <item m="1" x="29"/>
        <item x="16"/>
        <item m="1" x="28"/>
        <item m="1" x="36"/>
        <item m="1" x="27"/>
        <item m="1" x="45"/>
        <item x="11"/>
        <item m="1" x="39"/>
        <item x="15"/>
        <item m="1" x="26"/>
        <item m="1" x="31"/>
        <item x="3"/>
        <item x="12"/>
        <item m="1" x="52"/>
        <item m="1" x="35"/>
        <item m="1" x="19"/>
        <item m="1" x="49"/>
        <item x="9"/>
        <item m="1" x="20"/>
        <item m="1" x="47"/>
        <item x="8"/>
        <item m="1" x="51"/>
        <item m="1" x="50"/>
        <item m="1" x="46"/>
        <item m="1" x="21"/>
        <item m="1" x="38"/>
        <item x="6"/>
        <item m="1" x="34"/>
        <item x="7"/>
        <item m="1" x="55"/>
        <item x="5"/>
        <item m="1" x="48"/>
        <item m="1" x="32"/>
        <item x="13"/>
        <item m="1" x="37"/>
        <item x="2"/>
        <item m="1" x="40"/>
        <item m="1" x="43"/>
        <item x="4"/>
        <item m="1" x="25"/>
        <item m="1" x="41"/>
        <item x="14"/>
        <item x="1"/>
        <item m="1" x="23"/>
        <item x="10"/>
        <item m="1" x="24"/>
        <item m="1" x="54"/>
        <item m="1" x="44"/>
        <item m="1" x="33"/>
        <item x="0"/>
        <item m="1" x="42"/>
        <item x="17"/>
        <item m="1" x="30"/>
        <item m="1" x="18"/>
      </items>
    </pivotField>
    <pivotField axis="axisRow" showAll="0">
      <items count="47">
        <item m="1" x="18"/>
        <item m="1" x="11"/>
        <item m="1" x="13"/>
        <item m="1" x="23"/>
        <item m="1" x="17"/>
        <item m="1" x="12"/>
        <item m="1" x="14"/>
        <item m="1" x="15"/>
        <item m="1" x="19"/>
        <item m="1" x="20"/>
        <item m="1" x="16"/>
        <item m="1" x="21"/>
        <item m="1" x="22"/>
        <item x="5"/>
        <item m="1" x="24"/>
        <item m="1" x="26"/>
        <item m="1" x="25"/>
        <item m="1" x="45"/>
        <item m="1" x="28"/>
        <item m="1" x="43"/>
        <item m="1" x="27"/>
        <item m="1" x="44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39"/>
        <item m="1" x="40"/>
        <item m="1" x="36"/>
        <item m="1" x="41"/>
        <item m="1" x="42"/>
        <item x="2"/>
        <item x="0"/>
        <item x="1"/>
        <item m="1" x="10"/>
        <item x="3"/>
        <item x="4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outline="0" showAll="0" defaultSubtotal="0">
      <items count="10">
        <item x="1"/>
        <item m="1" x="4"/>
        <item x="2"/>
        <item m="1" x="9"/>
        <item m="1" x="7"/>
        <item m="1" x="6"/>
        <item m="1" x="8"/>
        <item m="1" x="5"/>
        <item x="0"/>
        <item m="1" x="3"/>
      </items>
    </pivotField>
    <pivotField showAll="0"/>
  </pivotFields>
  <rowFields count="5">
    <field x="9"/>
    <field x="1"/>
    <field x="0"/>
    <field x="2"/>
    <field x="3"/>
  </rowFields>
  <rowItems count="188">
    <i>
      <x/>
      <x v="12"/>
      <x/>
    </i>
    <i r="3">
      <x v="3"/>
    </i>
    <i r="4">
      <x v="38"/>
    </i>
    <i r="2">
      <x v="40"/>
    </i>
    <i r="3">
      <x v="44"/>
    </i>
    <i r="4">
      <x v="36"/>
    </i>
    <i r="4">
      <x v="38"/>
    </i>
    <i r="2">
      <x v="41"/>
    </i>
    <i r="3">
      <x v="37"/>
    </i>
    <i r="4">
      <x v="36"/>
    </i>
    <i r="4">
      <x v="38"/>
    </i>
    <i r="2">
      <x v="44"/>
    </i>
    <i r="3">
      <x v="32"/>
    </i>
    <i r="4">
      <x v="38"/>
    </i>
    <i r="3">
      <x v="40"/>
    </i>
    <i r="4">
      <x v="38"/>
    </i>
    <i r="2">
      <x v="45"/>
    </i>
    <i r="3">
      <x v="32"/>
    </i>
    <i r="4">
      <x v="41"/>
    </i>
    <i r="3">
      <x v="40"/>
    </i>
    <i r="4">
      <x v="41"/>
    </i>
    <i r="2">
      <x v="46"/>
    </i>
    <i r="3">
      <x v="28"/>
    </i>
    <i r="4">
      <x v="38"/>
    </i>
    <i r="2">
      <x v="47"/>
    </i>
    <i r="3">
      <x v="22"/>
    </i>
    <i r="4">
      <x v="38"/>
    </i>
    <i r="3">
      <x v="30"/>
    </i>
    <i r="4">
      <x v="38"/>
    </i>
    <i r="2">
      <x v="48"/>
    </i>
    <i r="3">
      <x v="22"/>
    </i>
    <i r="4">
      <x v="43"/>
    </i>
    <i r="2">
      <x v="50"/>
    </i>
    <i r="3">
      <x v="30"/>
    </i>
    <i r="4">
      <x v="41"/>
    </i>
    <i r="2">
      <x v="52"/>
    </i>
    <i r="3">
      <x v="19"/>
    </i>
    <i r="4">
      <x v="41"/>
    </i>
    <i r="3">
      <x v="46"/>
    </i>
    <i r="4">
      <x v="38"/>
    </i>
    <i r="2">
      <x v="57"/>
    </i>
    <i r="3">
      <x v="14"/>
    </i>
    <i r="4">
      <x v="41"/>
    </i>
    <i r="2">
      <x v="58"/>
    </i>
    <i r="3">
      <x v="35"/>
    </i>
    <i r="4">
      <x v="38"/>
    </i>
    <i r="3">
      <x v="43"/>
    </i>
    <i r="4">
      <x v="38"/>
    </i>
    <i r="2">
      <x v="61"/>
    </i>
    <i r="3">
      <x v="28"/>
    </i>
    <i r="4">
      <x v="41"/>
    </i>
    <i r="2">
      <x v="62"/>
    </i>
    <i r="3">
      <x v="3"/>
    </i>
    <i r="4">
      <x v="38"/>
    </i>
    <i r="2">
      <x v="63"/>
    </i>
    <i r="3">
      <x v="43"/>
    </i>
    <i r="4">
      <x v="43"/>
    </i>
    <i r="2">
      <x v="64"/>
    </i>
    <i r="3">
      <x v="53"/>
    </i>
    <i r="4">
      <x v="41"/>
    </i>
    <i>
      <x v="2"/>
      <x v="25"/>
      <x v="51"/>
    </i>
    <i r="3">
      <x v="40"/>
    </i>
    <i r="4">
      <x v="37"/>
    </i>
    <i r="1">
      <x v="26"/>
      <x v="51"/>
    </i>
    <i r="3">
      <x v="40"/>
    </i>
    <i r="4">
      <x v="37"/>
    </i>
    <i r="1">
      <x v="28"/>
      <x v="52"/>
    </i>
    <i r="3">
      <x v="8"/>
    </i>
    <i r="4">
      <x v="37"/>
    </i>
    <i r="2">
      <x v="53"/>
    </i>
    <i r="3">
      <x v="8"/>
    </i>
    <i r="4">
      <x v="40"/>
    </i>
    <i r="2">
      <x v="64"/>
    </i>
    <i r="3">
      <x v="53"/>
    </i>
    <i r="4">
      <x v="37"/>
    </i>
    <i r="2">
      <x v="65"/>
    </i>
    <i r="3">
      <x v="53"/>
    </i>
    <i r="4">
      <x v="40"/>
    </i>
    <i r="1">
      <x v="29"/>
      <x v="52"/>
    </i>
    <i r="3">
      <x v="8"/>
    </i>
    <i r="4">
      <x v="37"/>
    </i>
    <i r="2">
      <x v="53"/>
    </i>
    <i r="3">
      <x v="8"/>
    </i>
    <i r="4">
      <x v="13"/>
    </i>
    <i r="2">
      <x v="55"/>
    </i>
    <i r="3">
      <x v="8"/>
    </i>
    <i r="4">
      <x v="44"/>
    </i>
    <i r="1">
      <x v="30"/>
      <x v="59"/>
    </i>
    <i r="3">
      <x v="14"/>
    </i>
    <i r="4">
      <x v="37"/>
    </i>
    <i r="2">
      <x v="60"/>
    </i>
    <i r="3">
      <x v="14"/>
    </i>
    <i r="4">
      <x v="40"/>
    </i>
    <i r="4">
      <x v="45"/>
    </i>
    <i r="2">
      <x v="64"/>
    </i>
    <i r="3">
      <x v="53"/>
    </i>
    <i r="4">
      <x v="37"/>
    </i>
    <i r="2">
      <x v="65"/>
    </i>
    <i r="3">
      <x v="53"/>
    </i>
    <i r="4">
      <x v="40"/>
    </i>
    <i r="1">
      <x v="31"/>
      <x v="59"/>
    </i>
    <i r="3">
      <x v="14"/>
    </i>
    <i r="4">
      <x v="37"/>
    </i>
    <i r="2">
      <x v="60"/>
    </i>
    <i r="3">
      <x v="14"/>
    </i>
    <i r="4">
      <x v="40"/>
    </i>
    <i r="4">
      <x v="45"/>
    </i>
    <i r="2">
      <x v="64"/>
    </i>
    <i r="3">
      <x v="53"/>
    </i>
    <i r="4">
      <x v="37"/>
    </i>
    <i>
      <x v="8"/>
      <x v="18"/>
      <x v="39"/>
    </i>
    <i r="3">
      <x v="51"/>
    </i>
    <i r="4">
      <x v="37"/>
    </i>
    <i r="2">
      <x v="52"/>
    </i>
    <i r="3">
      <x v="51"/>
    </i>
    <i r="4">
      <x v="13"/>
    </i>
    <i r="1">
      <x v="19"/>
      <x v="39"/>
    </i>
    <i r="3">
      <x v="51"/>
    </i>
    <i r="4">
      <x v="37"/>
    </i>
    <i r="2">
      <x v="49"/>
    </i>
    <i r="3">
      <x v="51"/>
    </i>
    <i r="4">
      <x v="40"/>
    </i>
    <i r="2">
      <x v="50"/>
    </i>
    <i r="3">
      <x v="30"/>
    </i>
    <i r="4">
      <x v="37"/>
    </i>
    <i r="2">
      <x v="59"/>
    </i>
    <i r="3">
      <x v="10"/>
    </i>
    <i r="4">
      <x v="37"/>
    </i>
    <i r="1">
      <x v="21"/>
      <x v="40"/>
    </i>
    <i r="3">
      <x v="44"/>
    </i>
    <i r="4">
      <x v="37"/>
    </i>
    <i r="2">
      <x v="59"/>
    </i>
    <i r="3">
      <x v="43"/>
    </i>
    <i r="4">
      <x v="37"/>
    </i>
    <i r="1">
      <x v="22"/>
      <x v="43"/>
    </i>
    <i r="3">
      <x v="13"/>
    </i>
    <i r="4">
      <x v="37"/>
    </i>
    <i r="2">
      <x v="44"/>
    </i>
    <i r="3">
      <x v="13"/>
    </i>
    <i r="4">
      <x v="40"/>
    </i>
    <i r="3">
      <x v="37"/>
    </i>
    <i r="4">
      <x v="37"/>
    </i>
    <i r="2">
      <x v="48"/>
    </i>
    <i r="3">
      <x v="37"/>
    </i>
    <i r="4">
      <x v="40"/>
    </i>
    <i r="2">
      <x v="50"/>
    </i>
    <i r="3">
      <x v="30"/>
    </i>
    <i r="4">
      <x v="37"/>
    </i>
    <i r="2">
      <x v="59"/>
    </i>
    <i r="3">
      <x v="10"/>
    </i>
    <i r="4">
      <x v="37"/>
    </i>
    <i r="1">
      <x v="23"/>
      <x v="43"/>
    </i>
    <i r="3">
      <x v="13"/>
    </i>
    <i r="4">
      <x v="37"/>
    </i>
    <i r="2">
      <x v="47"/>
    </i>
    <i r="3">
      <x v="13"/>
    </i>
    <i r="4">
      <x v="13"/>
    </i>
    <i r="2">
      <x v="50"/>
    </i>
    <i r="3">
      <x v="13"/>
    </i>
    <i r="4">
      <x v="44"/>
    </i>
    <i r="1">
      <x v="24"/>
      <x v="44"/>
    </i>
    <i r="3">
      <x v="37"/>
    </i>
    <i r="4">
      <x v="37"/>
    </i>
    <i r="2">
      <x v="47"/>
    </i>
    <i r="3">
      <x v="22"/>
    </i>
    <i r="4">
      <x v="37"/>
    </i>
    <i r="2">
      <x v="48"/>
    </i>
    <i r="3">
      <x v="37"/>
    </i>
    <i r="4">
      <x v="40"/>
    </i>
    <i r="2">
      <x v="54"/>
    </i>
    <i r="3">
      <x v="22"/>
    </i>
    <i r="4">
      <x v="40"/>
    </i>
    <i r="2">
      <x v="56"/>
    </i>
    <i r="3">
      <x v="28"/>
    </i>
    <i r="4">
      <x v="37"/>
    </i>
    <i r="2">
      <x v="63"/>
    </i>
    <i r="3">
      <x v="28"/>
    </i>
    <i r="4">
      <x v="13"/>
    </i>
    <i r="1">
      <x v="27"/>
      <x v="46"/>
    </i>
    <i r="3">
      <x v="28"/>
    </i>
    <i r="4">
      <x v="37"/>
    </i>
    <i r="1">
      <x v="32"/>
      <x v="63"/>
    </i>
    <i r="3">
      <x v="43"/>
    </i>
    <i r="4">
      <x v="37"/>
    </i>
    <i r="1">
      <x v="33"/>
      <x v="63"/>
    </i>
    <i r="3">
      <x v="43"/>
    </i>
    <i r="4">
      <x v="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Afinador_Tipus" xr10:uid="{A5AF23AE-C29E-4D6C-A200-F57C2897850D}" sourceName="Tipus">
  <pivotTables>
    <pivotTable tabId="4" name="Resum alumnes"/>
  </pivotTables>
  <data>
    <tabular pivotCacheId="1911222705">
      <items count="8">
        <i x="3" s="1"/>
        <i x="0" s="1"/>
        <i x="1" s="1"/>
        <i x="2" s="1"/>
        <i x="4" s="1"/>
        <i x="7" s="1" nd="1"/>
        <i x="5" s="1" nd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Afinador_Alumne" xr10:uid="{B7F4F895-E4C1-4EF0-B936-C61EB08710BA}" sourceName="Alumne">
  <pivotTables>
    <pivotTable tabId="8" name="Resum seguiment"/>
  </pivotTables>
  <data>
    <tabular pivotCacheId="1325834059">
      <items count="34">
        <i x="5" s="1"/>
        <i x="4" s="1"/>
        <i x="14" s="1"/>
        <i x="15" s="1"/>
        <i x="8" s="1"/>
        <i x="7" s="1"/>
        <i x="0" s="1"/>
        <i x="6" s="1"/>
        <i x="9" s="1"/>
        <i x="3" s="1"/>
        <i x="11" s="1"/>
        <i x="12" s="1"/>
        <i x="1" s="1"/>
        <i x="10" s="1"/>
        <i x="13" s="1"/>
        <i x="2" s="1"/>
        <i x="33" s="1" nd="1"/>
        <i x="25" s="1" nd="1"/>
        <i x="16" s="1" nd="1"/>
        <i x="23" s="1" nd="1"/>
        <i x="18" s="1" nd="1"/>
        <i x="26" s="1" nd="1"/>
        <i x="24" s="1" nd="1"/>
        <i x="19" s="1" nd="1"/>
        <i x="21" s="1" nd="1"/>
        <i x="22" s="1" nd="1"/>
        <i x="17" s="1" nd="1"/>
        <i x="27" s="1" nd="1"/>
        <i x="20" s="1" nd="1"/>
        <i x="31" s="1" nd="1"/>
        <i x="29" s="1" nd="1"/>
        <i x="32" s="1" nd="1"/>
        <i x="28" s="1" nd="1"/>
        <i x="3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Afinador_Empresa" xr10:uid="{9948873A-03A2-4C87-8266-3ED7DCAC5A50}" sourceName="Empresa">
  <pivotTables>
    <pivotTable tabId="8" name="Resum seguiment"/>
  </pivotTables>
  <data>
    <tabular pivotCacheId="1325834059">
      <items count="56">
        <i x="16" s="1"/>
        <i x="11" s="1"/>
        <i x="15" s="1"/>
        <i x="3" s="1"/>
        <i x="12" s="1"/>
        <i x="9" s="1"/>
        <i x="8" s="1"/>
        <i x="6" s="1"/>
        <i x="7" s="1"/>
        <i x="5" s="1"/>
        <i x="13" s="1"/>
        <i x="2" s="1"/>
        <i x="4" s="1"/>
        <i x="14" s="1"/>
        <i x="1" s="1"/>
        <i x="10" s="1"/>
        <i x="0" s="1"/>
        <i x="17" s="1"/>
        <i x="22" s="1" nd="1"/>
        <i x="53" s="1" nd="1"/>
        <i x="29" s="1" nd="1"/>
        <i x="28" s="1" nd="1"/>
        <i x="36" s="1" nd="1"/>
        <i x="27" s="1" nd="1"/>
        <i x="45" s="1" nd="1"/>
        <i x="39" s="1" nd="1"/>
        <i x="26" s="1" nd="1"/>
        <i x="31" s="1" nd="1"/>
        <i x="52" s="1" nd="1"/>
        <i x="35" s="1" nd="1"/>
        <i x="19" s="1" nd="1"/>
        <i x="49" s="1" nd="1"/>
        <i x="20" s="1" nd="1"/>
        <i x="47" s="1" nd="1"/>
        <i x="51" s="1" nd="1"/>
        <i x="50" s="1" nd="1"/>
        <i x="46" s="1" nd="1"/>
        <i x="21" s="1" nd="1"/>
        <i x="38" s="1" nd="1"/>
        <i x="34" s="1" nd="1"/>
        <i x="55" s="1" nd="1"/>
        <i x="48" s="1" nd="1"/>
        <i x="32" s="1" nd="1"/>
        <i x="37" s="1" nd="1"/>
        <i x="40" s="1" nd="1"/>
        <i x="43" s="1" nd="1"/>
        <i x="25" s="1" nd="1"/>
        <i x="41" s="1" nd="1"/>
        <i x="23" s="1" nd="1"/>
        <i x="24" s="1" nd="1"/>
        <i x="54" s="1" nd="1"/>
        <i x="44" s="1" nd="1"/>
        <i x="33" s="1" nd="1"/>
        <i x="42" s="1" nd="1"/>
        <i x="30" s="1" nd="1"/>
        <i x="1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Afinador_Ok" xr10:uid="{411DE307-EFD2-4C92-9B45-0385373E888E}" sourceName="Ok">
  <pivotTables>
    <pivotTable tabId="4" name="Resum alumnes"/>
  </pivotTables>
  <data>
    <tabular pivotCacheId="1911222705">
      <items count="5">
        <i x="1" s="1"/>
        <i x="0" s="1"/>
        <i x="2" s="1" nd="1"/>
        <i x="4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Afinador_Comentari" xr10:uid="{2CB5A5F7-A7C7-498B-80F4-2BE4F0B710D0}" sourceName="Comentari">
  <pivotTables>
    <pivotTable tabId="8" name="Resum seguiment"/>
  </pivotTables>
  <data>
    <tabular pivotCacheId="1325834059">
      <items count="46">
        <i x="2" s="1"/>
        <i x="7" s="1"/>
        <i x="0" s="1"/>
        <i x="8" s="1"/>
        <i x="3" s="1"/>
        <i x="1" s="1"/>
        <i x="6" s="1"/>
        <i x="5" s="1"/>
        <i x="4" s="1"/>
        <i x="43" s="1" nd="1"/>
        <i x="9" s="1" nd="1"/>
        <i x="44" s="1" nd="1"/>
        <i x="28" s="1" nd="1"/>
        <i x="35" s="1" nd="1"/>
        <i x="25" s="1" nd="1"/>
        <i x="18" s="1" nd="1"/>
        <i x="11" s="1" nd="1"/>
        <i x="27" s="1" nd="1"/>
        <i x="10" s="1" nd="1"/>
        <i x="13" s="1" nd="1"/>
        <i x="29" s="1" nd="1"/>
        <i x="23" s="1" nd="1"/>
        <i x="26" s="1" nd="1"/>
        <i x="17" s="1" nd="1"/>
        <i x="37" s="1" nd="1"/>
        <i x="32" s="1" nd="1"/>
        <i x="38" s="1" nd="1"/>
        <i x="39" s="1" nd="1"/>
        <i x="33" s="1" nd="1"/>
        <i x="36" s="1" nd="1"/>
        <i x="12" s="1" nd="1"/>
        <i x="34" s="1" nd="1"/>
        <i x="40" s="1" nd="1"/>
        <i x="41" s="1" nd="1"/>
        <i x="14" s="1" nd="1"/>
        <i x="15" s="1" nd="1"/>
        <i x="19" s="1" nd="1"/>
        <i x="20" s="1" nd="1"/>
        <i x="16" s="1" nd="1"/>
        <i x="24" s="1" nd="1"/>
        <i x="21" s="1" nd="1"/>
        <i x="22" s="1" nd="1"/>
        <i x="30" s="1" nd="1"/>
        <i x="31" s="1" nd="1"/>
        <i x="42" s="1" nd="1"/>
        <i x="4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us" xr10:uid="{C39EA3B8-0878-4109-BC4F-FB0888EB1A82}" cache="Afinador_Tipus" caption="Tipus" rowHeight="251883"/>
  <slicer name="Ok" xr10:uid="{1C490E5D-07D2-472B-A1E4-AC4EDC1D9568}" cache="Afinador_Ok" caption="Ok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lumne" xr10:uid="{D3049660-F121-4B65-B779-DAB500F29E4B}" cache="Afinador_Alumne" caption="Alumne" startItem="10" rowHeight="251883"/>
  <slicer name="Empresa" xr10:uid="{5087E538-B6BC-4D80-B793-6646F38ACBF8}" cache="Afinador_Empresa" caption="Empresa" rowHeight="251883"/>
  <slicer name="Comentari" xr10:uid="{C49086EA-9E2A-4949-B013-C17A7C4965FC}" cache="Afinador_Comentari" caption="Comentari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D2B3B0-21B0-4F36-BE50-846BEC1753B9}" name="Taula_Alumnes" displayName="Taula_Alumnes" ref="A1:AH29" totalsRowShown="0" headerRowDxfId="112" dataDxfId="111">
  <autoFilter ref="A1:AH29" xr:uid="{0DD2B3B0-21B0-4F36-BE50-846BEC1753B9}">
    <filterColumn colId="8">
      <filters>
        <filter val="Pendent"/>
      </filters>
    </filterColumn>
    <filterColumn colId="22">
      <filters>
        <filter val="Dual gen."/>
      </filters>
    </filterColumn>
  </autoFilter>
  <tableColumns count="34">
    <tableColumn id="1" xr3:uid="{C3EF1EC7-620E-4812-9521-A8A5772F3705}" name="#" dataDxfId="110"/>
    <tableColumn id="25" xr3:uid="{859DE4F9-A0C7-4009-9702-5FD1351BB7DC}" name="CV" dataDxfId="109">
      <calculatedColumnFormula>HYPERLINK(_xlfn.CONCAT("D:\La meva unitat\FCT\Promoció 2025-27\Alumnes\",Taula_Alumnes[[#This Row],[Nom sencer]],"\CV_",Taula_Alumnes[[#This Row],[Nom sencer]],".pdf"),"CV")</calculatedColumnFormula>
    </tableColumn>
    <tableColumn id="6" xr3:uid="{650B949F-278F-49FF-B076-429A64F2CC0B}" name="Cognoms" dataDxfId="108"/>
    <tableColumn id="2" xr3:uid="{085A27C4-7EB0-4267-AB01-AED6C7D250D2}" name="Nom" dataDxfId="107"/>
    <tableColumn id="21" xr3:uid="{FF3C0CB3-FF72-47ED-8980-65234F6B81C8}" name="Nom sencer" dataDxfId="106">
      <calculatedColumnFormula>_xlfn.CONCAT(TRIM(Taula_Alumnes[[#This Row],[Cognoms]]), ", ", TRIM(Taula_Alumnes[[#This Row],[Nom]]))</calculatedColumnFormula>
    </tableColumn>
    <tableColumn id="27" xr3:uid="{15EDDD34-7DB7-446B-878D-6D799D475996}" name="Env" dataDxfId="105">
      <calculatedColumnFormula>COUNTIF(Seguiment!F:F,Taula_Alumnes[[#This Row],[Nom sencer]])</calculatedColumnFormula>
    </tableColumn>
    <tableColumn id="24" xr3:uid="{C89F8B98-3177-4D8F-B785-48E2951E6D3D}" name="Reb/NT" dataDxfId="104">
      <calculatedColumnFormula>COUNTIF(Seguiment!G:G,Taula_Alumnes[[#This Row],[Nom sencer]])++COUNTIF(Seguiment!H:H,Taula_Alumnes[[#This Row],[Nom sencer]])</calculatedColumnFormula>
    </tableColumn>
    <tableColumn id="28" xr3:uid="{F71CE00E-5A1B-415C-8625-8E21210DB15F}" name="Lliure" dataDxfId="103">
      <calculatedColumnFormula>IF(Taula_Alumnes[[#This Row],[Env]]=Taula_Alumnes[[#This Row],[Reb/NT]],IF(Taula_Alumnes[[#This Row],[Ok]]="Pendent","Sí","No"),"No")</calculatedColumnFormula>
    </tableColumn>
    <tableColumn id="23" xr3:uid="{A370B4AC-BDF6-4F3A-BFC2-91DA7420A8B5}" name="Ok" dataDxfId="102">
      <calculatedColumnFormula>IF(Taula_Alumnes[[#This Row],[Tipus]]=Taula_Alumnes[[#This Row],[Estat]],"Assignat",IF(Taula_Alumnes[[#This Row],[Estat]]="Pràctiques finalitzades","Finalitzades","Pendent"))</calculatedColumnFormula>
    </tableColumn>
    <tableColumn id="26" xr3:uid="{C17CC73A-9871-43E2-813B-EB2BA4EFBE8C}" name="Obs" dataDxfId="101"/>
    <tableColumn id="7" xr3:uid="{94A3252D-B78C-4C31-9F96-CA6A874990D3}" name="DNI/NIE/Passaport" dataDxfId="100"/>
    <tableColumn id="8" xr3:uid="{CAF5972A-B82D-4C37-8CA1-29F2877BEB25}" name="Data Naixement" dataDxfId="99"/>
    <tableColumn id="18" xr3:uid="{DAE219A6-0FE9-4D94-BC20-6C06BE7DB28A}" name="Edat" dataDxfId="98">
      <calculatedColumnFormula>_xlfn.CONCAT(TEXT(_xlfn.DAYS(TODAY(),Taula_Alumnes[[#This Row],[Data Naixement]])/365,"##")," anys")</calculatedColumnFormula>
    </tableColumn>
    <tableColumn id="10" xr3:uid="{23E792F3-837C-40AC-A838-F6ACBD17E5FB}" name="Telèfon #1" dataDxfId="97"/>
    <tableColumn id="9" xr3:uid="{1B395112-72F5-46DB-A703-14FD3B0C670B}" name="Telèfon #2" dataDxfId="96"/>
    <tableColumn id="20" xr3:uid="{F8684864-4F16-4F2E-9E63-D22C3C8F7A7C}" name="TS" dataDxfId="95">
      <calculatedColumnFormula>IFERROR(VLOOKUP(Taula_Alumnes[[#This Row],[DNI/NIE/Passaport]],Questionari!D:O,11,FALSE),"")</calculatedColumnFormula>
    </tableColumn>
    <tableColumn id="14" xr3:uid="{85D25355-C30E-4DD8-BD04-C47009E785C1}" name="SS" dataDxfId="94">
      <calculatedColumnFormula>IFERROR(VLOOKUP(Taula_Alumnes[[#This Row],[DNI/NIE/Passaport]],Questionari!D:O,12,FALSE),"-")</calculatedColumnFormula>
    </tableColumn>
    <tableColumn id="3" xr3:uid="{1A852087-E38B-4D0A-9C6B-A831C91D28C1}" name="Correu electrònic" dataDxfId="93"/>
    <tableColumn id="13" xr3:uid="{AA91D60D-5900-4C48-AE5D-1C092C5E60BD}" name="Adreça" dataDxfId="92">
      <calculatedColumnFormula>IFERROR(VLOOKUP(Taula_Alumnes[[#This Row],[DNI/NIE/Passaport]],Questionari!D:O,5,FALSE),"")</calculatedColumnFormula>
    </tableColumn>
    <tableColumn id="32" xr3:uid="{11E694B5-FA4A-46A7-BE11-036C414A4FF9}" name="Població" dataDxfId="91">
      <calculatedColumnFormula>IFERROR(VLOOKUP(Taula_Alumnes[[#This Row],[DNI/NIE/Passaport]],Questionari!D:O,6,FALSE),"")</calculatedColumnFormula>
    </tableColumn>
    <tableColumn id="29" xr3:uid="{E7E92EF8-2CBD-41FB-B4A9-F0B65B3C408C}" name="CP" dataDxfId="90">
      <calculatedColumnFormula>IFERROR(VLOOKUP(Taula_Alumnes[[#This Row],[DNI/NIE/Passaport]],Questionari!D:O,7,FALSE),"")</calculatedColumnFormula>
    </tableColumn>
    <tableColumn id="30" xr3:uid="{075BA58E-E53E-4FB9-839A-9E435346F185}" name="Idiomes" dataDxfId="89"/>
    <tableColumn id="22" xr3:uid="{66396F28-2CDA-44E7-99CC-650F6C5DB4AE}" name="Tipus" dataDxfId="88" dataCellStyle="Enllaç"/>
    <tableColumn id="4" xr3:uid="{B83C4880-CF24-4BAF-B9F2-413762E1DD0B}" name="Estat" dataDxfId="87"/>
    <tableColumn id="5" xr3:uid="{E831A93F-3313-48D5-866E-63F6C27132F2}" name="Empresa" dataDxfId="86"/>
    <tableColumn id="11" xr3:uid="{A9445123-BECB-4920-BBAA-C06DCB82269F}" name="Nom Tutor" dataDxfId="85">
      <calculatedColumnFormula>_xlfn.LET(_xlpm.res, IFERROR(VLOOKUP(Taula_Alumnes[[#This Row],[Empresa]],Taula_Empreses[],2,FALSE),""), IF(_xlpm.res=0,"",_xlpm.res))</calculatedColumnFormula>
    </tableColumn>
    <tableColumn id="37" xr3:uid="{A0E6160A-C765-46E0-AB43-FB785222A6E7}" name="Tel. Tutor" dataDxfId="84"/>
    <tableColumn id="36" xr3:uid="{1CA1EEC5-19B9-43C2-ACCB-86F63A7C7DCB}" name="Correu Tutor" dataDxfId="83"/>
    <tableColumn id="38" xr3:uid="{77CC76A8-BA82-4BBB-AAA0-1DFAF6FA1009}" name="DNI Tutor" dataDxfId="82"/>
    <tableColumn id="15" xr3:uid="{4620010E-168B-4B1D-A2F7-AAC33FC08A7C}" name="Inici" dataDxfId="81"/>
    <tableColumn id="16" xr3:uid="{E297DE6D-0B06-40EE-B12A-880A074C2804}" name="Fi" dataDxfId="80"/>
    <tableColumn id="17" xr3:uid="{AD2D9AD8-9695-4075-BAB4-1070B8EC7E9F}" name="Hores" dataDxfId="79"/>
    <tableColumn id="19" xr3:uid="{83F5D662-C91D-41CF-813A-C3DBB0D58C84}" name="Observacions" dataDxfId="78"/>
    <tableColumn id="12" xr3:uid="{4717F364-C596-4161-B2A5-366494B896C3}" name="Nota Empresa" dataDxfId="7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2CBD0-785F-4CEF-A243-8974A6D32C1F}" name="Taula_Empreses" displayName="Taula_Empreses" ref="A1:K23" totalsRowShown="0" headerRowDxfId="76" dataDxfId="75">
  <autoFilter ref="A1:K23" xr:uid="{0E12CBD0-785F-4CEF-A243-8974A6D32C1F}"/>
  <tableColumns count="11">
    <tableColumn id="1" xr3:uid="{3BF51655-4E37-4301-A1D3-B14834AFBE93}" name="Sense empresa" dataDxfId="74"/>
    <tableColumn id="2" xr3:uid="{12B25F5B-ED3E-459D-A306-BCB455D56E50}" name="Nom contacte" dataDxfId="73"/>
    <tableColumn id="3" xr3:uid="{9C6112AB-C69B-4746-89E4-904329B20305}" name="Correu electrònic" dataDxfId="72" dataCellStyle="Enllaç"/>
    <tableColumn id="6" xr3:uid="{34D77CDE-B8D2-423E-AED6-DE226CEF3587}" name="Telèfon" dataDxfId="71" dataCellStyle="Enllaç"/>
    <tableColumn id="4" xr3:uid="{63338E50-DECB-48A5-A36E-511F1712C810}" name="Adreça" dataDxfId="70"/>
    <tableColumn id="11" xr3:uid="{738F94DF-B54F-40CF-9F79-2BF79BB45F9E}" name="Nom Tutor" dataDxfId="69"/>
    <tableColumn id="5" xr3:uid="{90CC1BBD-FF30-4D17-9059-6B594EEA07BB}" name="Correu Tutor" dataDxfId="68"/>
    <tableColumn id="10" xr3:uid="{48D74D87-DD31-4AA5-90D9-8F81E42B0F0C}" name="DNI Tutor" dataDxfId="67"/>
    <tableColumn id="7" xr3:uid="{C70BF8AF-67E8-420D-89D4-AFEB4B9185A6}" name="Altres" dataDxfId="66"/>
    <tableColumn id="9" xr3:uid="{890978B2-E14B-44AE-A019-245B65578A3D}" name="# Alum." dataDxfId="65">
      <calculatedColumnFormula>COUNTIF(Alumnes!AE:AE,Taula_Empreses[[#This Row],[Sense empresa]])</calculatedColumnFormula>
    </tableColumn>
    <tableColumn id="8" xr3:uid="{EA0F3D50-D90E-4132-AFC6-4B44F8E9929E}" name="# Contactes" dataDxfId="64">
      <calculatedColumnFormula>COUNTIF(Seguiment!C:C,Taula_Empreses[[#This Row],[Sense empresa]])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5216DD-33F0-447A-8213-542ED716AA83}" name="Taula_Seguiment" displayName="Taula_Seguiment" ref="A1:K93" totalsRowShown="0" headerRowDxfId="63" dataDxfId="62">
  <autoFilter ref="A1:K93" xr:uid="{805216DD-33F0-447A-8213-542ED716AA83}">
    <filterColumn colId="1">
      <filters>
        <filter val="Benítes Zambrano, David"/>
      </filters>
    </filterColumn>
  </autoFilter>
  <tableColumns count="11">
    <tableColumn id="1" xr3:uid="{7D9D3162-AC6F-475E-8D2A-CC6767A3AB84}" name="Data" dataDxfId="61"/>
    <tableColumn id="2" xr3:uid="{66EB4A85-3957-4B7A-8E6E-7E21A41AE7FD}" name="Alumne" dataDxfId="60"/>
    <tableColumn id="3" xr3:uid="{D145EF66-173D-4E7C-B689-B666406C1193}" name="Empresa" dataDxfId="59"/>
    <tableColumn id="4" xr3:uid="{F1F2EF9C-A777-4503-82AE-657EAEE9949D}" name="Comentari" dataDxfId="58"/>
    <tableColumn id="9" xr3:uid="{CF04FBED-4D52-4964-8185-124450DD51ED}" name="Obs" dataDxfId="57"/>
    <tableColumn id="5" xr3:uid="{ED48315B-3E3D-4B00-B044-63CDCCBFCB05}" name="CV - Enviat" dataDxfId="56">
      <calculatedColumnFormula>IF(Taula_Seguiment[[#This Row],[Comentari]]=F$1,Taula_Seguiment[[#This Row],[Alumne]],"")</calculatedColumnFormula>
    </tableColumn>
    <tableColumn id="7" xr3:uid="{CD102163-8EBD-476E-ADA4-77A150EC323C}" name="CV - Rebutjat" dataDxfId="55">
      <calculatedColumnFormula>IF(Taula_Seguiment[[#This Row],[Comentari]]=G$1,Taula_Seguiment[[#This Row],[Alumne]],"")</calculatedColumnFormula>
    </tableColumn>
    <tableColumn id="11" xr3:uid="{98984501-F46F-4A99-BBA7-1766E8337445}" name="CV - No l'han tractat" dataDxfId="54">
      <calculatedColumnFormula>IF(Taula_Seguiment[[#This Row],[Comentari]]=H$1,Taula_Seguiment[[#This Row],[Alumne]],"")</calculatedColumnFormula>
    </tableColumn>
    <tableColumn id="6" xr3:uid="{688F5AF6-D430-4CBF-9AB8-197441D231D7}" name="Empresa enviada" dataDxfId="53">
      <calculatedColumnFormula>IF(Taula_Seguiment[[#This Row],[Empresa]]="","",_xlfn.CONCAT(Taula_Seguiment[[#This Row],[Empresa]]," (",TEXT(Taula_Seguiment[[#This Row],[Data]],"dd/mm/aaaa"),")"))</calculatedColumnFormula>
    </tableColumn>
    <tableColumn id="8" xr3:uid="{6EDDFFDB-22F2-42F7-A034-9A3884AB7426}" name="Estat" dataDxfId="52">
      <calculatedColumnFormula>IFERROR(VLOOKUP(Taula_Seguiment[[#This Row],[Alumne]],Alumnes!E:AE,18,FALSE),"")</calculatedColumnFormula>
    </tableColumn>
    <tableColumn id="10" xr3:uid="{0BDE180F-E643-40F4-9101-E06F9A2DF65A}" name="Nom Empresa" dataDxfId="51">
      <calculatedColumnFormula>IFERROR(VLOOKUP(Taula_Seguiment[[#This Row],[Alumne]],Alumnes!E:AE,19,FALSE),"")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78488-5171-4C82-94A3-952C8FFDF176}" name="Taula_Pendent" displayName="Taula_Pendent" ref="A1:A15" totalsRowShown="0">
  <autoFilter ref="A1:A15" xr:uid="{02C78488-5171-4C82-94A3-952C8FFDF176}"/>
  <sortState xmlns:xlrd2="http://schemas.microsoft.com/office/spreadsheetml/2017/richdata2" ref="A2:A11">
    <sortCondition ref="A1:A11"/>
  </sortState>
  <tableColumns count="1">
    <tableColumn id="1" xr3:uid="{827652F7-99A2-43AD-9E6A-8E3D09B7AEB2}" name="Pend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50608E-3B02-4894-9437-D43BB7E37237}" name="Taula_Comentari" displayName="Taula_Comentari" ref="C1:C18" totalsRowShown="0">
  <autoFilter ref="C1:C18" xr:uid="{4850608E-3B02-4894-9437-D43BB7E37237}"/>
  <tableColumns count="1">
    <tableColumn id="1" xr3:uid="{C60A5B6E-8954-4B18-B4AF-DE3CD1441F9A}" name="Comentar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91AE03-C56E-4D07-8356-F29FA7E33DE2}" name="Taula_Tipus" displayName="Taula_Tipus" ref="E1:E6" totalsRowShown="0">
  <autoFilter ref="E1:E6" xr:uid="{9791AE03-C56E-4D07-8356-F29FA7E33DE2}"/>
  <tableColumns count="1">
    <tableColumn id="1" xr3:uid="{2A9A5F5F-A155-48AF-9277-9C55249A6C22}" name="Tip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53EC39-C4DB-456C-A39D-9FC5D28E2375}" name="Taula7" displayName="Taula7" ref="A1:Q29" totalsRowShown="0" headerRowDxfId="50" dataDxfId="49">
  <autoFilter ref="A1:Q29" xr:uid="{A853EC39-C4DB-456C-A39D-9FC5D28E2375}"/>
  <sortState xmlns:xlrd2="http://schemas.microsoft.com/office/spreadsheetml/2017/richdata2" ref="A2:Q28">
    <sortCondition ref="E1:E28"/>
  </sortState>
  <tableColumns count="17">
    <tableColumn id="1" xr3:uid="{D2802CDA-8B87-45CE-A372-61EF3ADFFCCC}" name="Marca de temps" dataDxfId="48"/>
    <tableColumn id="2" xr3:uid="{25C346AE-737D-40E7-A09B-188B22091254}" name="Adreça electrònica" dataDxfId="47"/>
    <tableColumn id="3" xr3:uid="{DEC5AE50-4043-4D0F-BE2A-F389BA52FD0E}" name="Grup" dataDxfId="46"/>
    <tableColumn id="4" xr3:uid="{56693F33-888E-4082-823C-6FC7DC0F292B}" name="N.I.F / .N.I.E" dataDxfId="45"/>
    <tableColumn id="5" xr3:uid="{37EF22B7-2D24-4F07-B71B-7D841C11F404}" name="1r. Cognom" dataDxfId="44"/>
    <tableColumn id="6" xr3:uid="{FB8484D2-9893-44DD-A7AD-309E013F3F51}" name="2n. Cognom" dataDxfId="43"/>
    <tableColumn id="7" xr3:uid="{4FC864CE-07DB-44AA-ADDC-D9BF4A198014}" name="Nom" dataDxfId="42"/>
    <tableColumn id="8" xr3:uid="{3F71073B-E80A-4B8C-9D06-8B2B0D121BB5}" name="Adreça" dataDxfId="41"/>
    <tableColumn id="9" xr3:uid="{4CD1DBE0-4356-4435-9EEC-D21B26231470}" name="Població" dataDxfId="40"/>
    <tableColumn id="10" xr3:uid="{3B98070D-8F4D-4687-A048-C76611873EA2}" name="C.P." dataDxfId="39"/>
    <tableColumn id="11" xr3:uid="{F08BDB97-EE15-4371-B6B6-BB7173F73CDF}" name="Telèfon" dataDxfId="38"/>
    <tableColumn id="12" xr3:uid="{BF4FABA1-D6CA-434A-9308-E65794E3E6A4}" name="E-mail (@sarria.salesians.cat)" dataDxfId="37"/>
    <tableColumn id="13" xr3:uid="{99D8B3D3-E793-4261-9E0F-3B65018D9F99}" name="Data de Naixement" dataDxfId="36"/>
    <tableColumn id="14" xr3:uid="{C5950D73-13BB-4936-BD79-CA913D088F06}" name="# Ttargeta Sanitària" dataDxfId="35"/>
    <tableColumn id="15" xr3:uid="{4DBF0F7C-6BDB-4848-A0EA-483D00E7DC15}" name="# Seguretat Social" dataDxfId="34"/>
    <tableColumn id="16" xr3:uid="{4AD0FD21-19E9-4409-9D08-E008E7083E6F}" name="Any Escolar" dataDxfId="33"/>
    <tableColumn id="17" xr3:uid="{393659D6-995A-4329-A44E-8D61CDBE8338}" name="Observacions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942934-AD57-4A20-8245-EFF63FAE85CC}" name="Taula8" displayName="Taula8" ref="A1:E29" totalsRowShown="0" headerRowDxfId="31" dataDxfId="30">
  <autoFilter ref="A1:E29" xr:uid="{9B942934-AD57-4A20-8245-EFF63FAE85CC}"/>
  <tableColumns count="5">
    <tableColumn id="1" xr3:uid="{50590CA6-B3C4-4F33-88C8-A60C9A5EBA08}" name="Nom sencer" dataDxfId="29"/>
    <tableColumn id="2" xr3:uid="{C8E44960-0B77-43B7-87C4-778536A70BAA}" name="Adreça" dataDxfId="28">
      <calculatedColumnFormula>VLOOKUP(Taula8[[#This Row],[Nom sencer]],Alumnes!E:W,13,FALSE)</calculatedColumnFormula>
    </tableColumn>
    <tableColumn id="3" xr3:uid="{AD71FB12-3197-4B6C-9218-50EB3B87F86E}" name="Població" dataDxfId="27">
      <calculatedColumnFormula>VLOOKUP(Taula8[[#This Row],[Nom sencer]],Alumnes!E:W,14,FALSE)</calculatedColumnFormula>
    </tableColumn>
    <tableColumn id="4" xr3:uid="{75739CAE-D957-4879-86A3-91727E55BAF0}" name="CP" dataDxfId="26">
      <calculatedColumnFormula>VLOOKUP(Taula8[[#This Row],[Nom sencer]],Alumnes!E:W,15,FALSE)</calculatedColumnFormula>
    </tableColumn>
    <tableColumn id="5" xr3:uid="{94CB8C93-C413-47F6-B05E-F12CE0A97371}" name="Tipus" dataDxfId="25">
      <calculatedColumnFormula>VLOOKUP(Taula8[[#This Row],[Nom sencer]],Alumnes!E:W,18,FALSE)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d.roldan@tobeit.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avid.saez@frigicoll.es" TargetMode="External"/><Relationship Id="rId1" Type="http://schemas.openxmlformats.org/officeDocument/2006/relationships/hyperlink" Target="mailto:av@dst.es" TargetMode="External"/><Relationship Id="rId6" Type="http://schemas.openxmlformats.org/officeDocument/2006/relationships/hyperlink" Target="mailto:jose.pintado@ingens-networks.com" TargetMode="External"/><Relationship Id="rId5" Type="http://schemas.openxmlformats.org/officeDocument/2006/relationships/hyperlink" Target="mailto:manuel.rato@vantureess.com" TargetMode="External"/><Relationship Id="rId4" Type="http://schemas.openxmlformats.org/officeDocument/2006/relationships/hyperlink" Target="mailto:gpuig@deinfo.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sara.parada@frigicoll.es" TargetMode="External"/><Relationship Id="rId7" Type="http://schemas.openxmlformats.org/officeDocument/2006/relationships/hyperlink" Target="mailto:santiago@sikaizen.com" TargetMode="External"/><Relationship Id="rId2" Type="http://schemas.openxmlformats.org/officeDocument/2006/relationships/hyperlink" Target="mailto:fbarrios@sidogras.com" TargetMode="External"/><Relationship Id="rId1" Type="http://schemas.openxmlformats.org/officeDocument/2006/relationships/hyperlink" Target="mailto:m.pruneda@tobeit.es" TargetMode="External"/><Relationship Id="rId6" Type="http://schemas.openxmlformats.org/officeDocument/2006/relationships/hyperlink" Target="mailto:SARA.CANALEJO@GENCAT.CAT" TargetMode="External"/><Relationship Id="rId5" Type="http://schemas.openxmlformats.org/officeDocument/2006/relationships/hyperlink" Target="mailto:nalvaro@eada.edu" TargetMode="External"/><Relationship Id="rId4" Type="http://schemas.openxmlformats.org/officeDocument/2006/relationships/hyperlink" Target="mailto:cristina.martin@fundacionrandstad.es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90E5-4166-4807-AE43-8FC8386C4432}">
  <sheetPr codeName="Full1"/>
  <dimension ref="A1:AJ29"/>
  <sheetViews>
    <sheetView tabSelected="1" zoomScaleNormal="100" workbookViewId="0">
      <pane xSplit="9" ySplit="2" topLeftCell="J8" activePane="bottomRight" state="frozen"/>
      <selection pane="topRight" activeCell="I1" sqref="I1"/>
      <selection pane="bottomLeft" activeCell="A3" sqref="A3"/>
      <selection pane="bottomRight" activeCell="W10" sqref="W10"/>
    </sheetView>
  </sheetViews>
  <sheetFormatPr defaultColWidth="66.08984375" defaultRowHeight="13.5" customHeight="1" outlineLevelCol="1" x14ac:dyDescent="0.35"/>
  <cols>
    <col min="1" max="1" width="6.36328125" style="4" bestFit="1" customWidth="1"/>
    <col min="2" max="2" width="7.7265625" style="4" bestFit="1" customWidth="1"/>
    <col min="3" max="3" width="17.36328125" style="5" bestFit="1" customWidth="1"/>
    <col min="4" max="4" width="17.7265625" style="5" bestFit="1" customWidth="1"/>
    <col min="5" max="5" width="31.7265625" style="5" bestFit="1" customWidth="1"/>
    <col min="6" max="6" width="8.36328125" style="4" bestFit="1" customWidth="1"/>
    <col min="7" max="7" width="8.6328125" style="4" bestFit="1" customWidth="1"/>
    <col min="8" max="8" width="8.6328125" style="4" customWidth="1"/>
    <col min="9" max="9" width="8.1796875" style="4" bestFit="1" customWidth="1"/>
    <col min="10" max="10" width="23.36328125" customWidth="1"/>
    <col min="11" max="11" width="21.08984375" hidden="1" customWidth="1" outlineLevel="1"/>
    <col min="12" max="12" width="18.81640625" style="4" hidden="1" customWidth="1" outlineLevel="1"/>
    <col min="13" max="13" width="9.08984375" style="4" hidden="1" customWidth="1" outlineLevel="1"/>
    <col min="14" max="14" width="13.90625" style="6" hidden="1" customWidth="1" outlineLevel="1"/>
    <col min="15" max="15" width="13.90625" style="4" hidden="1" customWidth="1" outlineLevel="1"/>
    <col min="16" max="16" width="18.26953125" style="4" hidden="1" customWidth="1" outlineLevel="1"/>
    <col min="17" max="17" width="13.6328125" style="30" hidden="1" customWidth="1" outlineLevel="1"/>
    <col min="18" max="18" width="33" style="4" hidden="1" customWidth="1" outlineLevel="1"/>
    <col min="19" max="19" width="39.90625" style="5" hidden="1" customWidth="1" outlineLevel="1"/>
    <col min="20" max="20" width="21.453125" style="5" hidden="1" customWidth="1" outlineLevel="1"/>
    <col min="21" max="21" width="7.7265625" style="5" hidden="1" customWidth="1" outlineLevel="1"/>
    <col min="22" max="22" width="12.08984375" style="20" hidden="1" customWidth="1" outlineLevel="1"/>
    <col min="23" max="23" width="11.26953125" style="20" customWidth="1" collapsed="1"/>
    <col min="24" max="24" width="18.26953125" style="5" bestFit="1" customWidth="1"/>
    <col min="25" max="25" width="18.90625" style="4" customWidth="1"/>
    <col min="26" max="26" width="24.54296875" bestFit="1" customWidth="1"/>
    <col min="27" max="27" width="13" bestFit="1" customWidth="1"/>
    <col min="28" max="28" width="15.6328125" bestFit="1" customWidth="1"/>
    <col min="29" max="29" width="13.08984375" bestFit="1" customWidth="1"/>
    <col min="30" max="30" width="11" style="39" bestFit="1" customWidth="1"/>
    <col min="31" max="31" width="11" style="37" bestFit="1" customWidth="1"/>
    <col min="32" max="32" width="10.1796875" style="4" bestFit="1" customWidth="1"/>
    <col min="33" max="33" width="16.7265625" style="18" bestFit="1" customWidth="1"/>
    <col min="34" max="34" width="16.90625" style="18" bestFit="1" customWidth="1"/>
    <col min="35" max="35" width="66.08984375" style="4"/>
    <col min="36" max="36" width="66.08984375" style="5"/>
    <col min="37" max="16384" width="66.08984375" style="4"/>
  </cols>
  <sheetData>
    <row r="1" spans="1:36" ht="13.5" customHeight="1" x14ac:dyDescent="0.35">
      <c r="A1" s="4" t="s">
        <v>7</v>
      </c>
      <c r="B1" s="4" t="s">
        <v>366</v>
      </c>
      <c r="C1" s="4" t="s">
        <v>10</v>
      </c>
      <c r="D1" s="4" t="s">
        <v>8</v>
      </c>
      <c r="E1" s="4" t="s">
        <v>33</v>
      </c>
      <c r="F1" s="4" t="s">
        <v>62</v>
      </c>
      <c r="G1" s="4" t="s">
        <v>460</v>
      </c>
      <c r="H1" s="4" t="s">
        <v>470</v>
      </c>
      <c r="I1" s="4" t="s">
        <v>49</v>
      </c>
      <c r="J1" s="4" t="s">
        <v>67</v>
      </c>
      <c r="K1" s="4" t="s">
        <v>11</v>
      </c>
      <c r="L1" s="4" t="s">
        <v>12</v>
      </c>
      <c r="M1" s="6" t="s">
        <v>24</v>
      </c>
      <c r="N1" s="7" t="s">
        <v>13</v>
      </c>
      <c r="O1" s="8" t="s">
        <v>55</v>
      </c>
      <c r="P1" s="8" t="s">
        <v>46</v>
      </c>
      <c r="Q1" s="29" t="s">
        <v>47</v>
      </c>
      <c r="R1" s="4" t="s">
        <v>4</v>
      </c>
      <c r="S1" s="4" t="s">
        <v>6</v>
      </c>
      <c r="T1" s="4" t="s">
        <v>221</v>
      </c>
      <c r="U1" s="21" t="s">
        <v>201</v>
      </c>
      <c r="V1" s="21" t="s">
        <v>216</v>
      </c>
      <c r="W1" s="4" t="s">
        <v>48</v>
      </c>
      <c r="X1" s="4" t="s">
        <v>63</v>
      </c>
      <c r="Y1" s="4" t="s">
        <v>9</v>
      </c>
      <c r="Z1" s="4" t="s">
        <v>213</v>
      </c>
      <c r="AA1" s="4" t="s">
        <v>349</v>
      </c>
      <c r="AB1" s="4" t="s">
        <v>214</v>
      </c>
      <c r="AC1" s="4" t="s">
        <v>65</v>
      </c>
      <c r="AD1" s="37" t="s">
        <v>21</v>
      </c>
      <c r="AE1" s="37" t="s">
        <v>22</v>
      </c>
      <c r="AF1" s="6" t="s">
        <v>23</v>
      </c>
      <c r="AG1" s="4" t="s">
        <v>25</v>
      </c>
      <c r="AH1" s="19" t="s">
        <v>64</v>
      </c>
      <c r="AJ1" s="4"/>
    </row>
    <row r="2" spans="1:36" ht="13.5" customHeight="1" x14ac:dyDescent="0.35">
      <c r="A2" s="4">
        <v>1</v>
      </c>
      <c r="B2" s="32" t="str">
        <f>HYPERLINK(_xlfn.CONCAT("D:\La meva unitat\FCT\Promoció 2025-27\Alumnes\",Taula_Alumnes[[#This Row],[Nom sencer]],"\CV_",Taula_Alumnes[[#This Row],[Nom sencer]],".pdf"),"CV")</f>
        <v>CV</v>
      </c>
      <c r="C2" s="5" t="s">
        <v>70</v>
      </c>
      <c r="D2" s="5" t="s">
        <v>71</v>
      </c>
      <c r="E2" s="5" t="str">
        <f>_xlfn.CONCAT(TRIM(Taula_Alumnes[[#This Row],[Cognoms]]), ", ", TRIM(Taula_Alumnes[[#This Row],[Nom]]))</f>
        <v>Aguayo Barrientos, Jose Wigberto</v>
      </c>
      <c r="F2" s="4">
        <f>COUNTIF(Seguiment!F:F,Taula_Alumnes[[#This Row],[Nom sencer]])</f>
        <v>0</v>
      </c>
      <c r="G2" s="4">
        <f>COUNTIF(Seguiment!G:G,Taula_Alumnes[[#This Row],[Nom sencer]])++COUNTIF(Seguiment!H:H,Taula_Alumnes[[#This Row],[Nom sencer]])</f>
        <v>0</v>
      </c>
      <c r="H2" s="4" t="str">
        <f>IF(Taula_Alumnes[[#This Row],[Env]]=Taula_Alumnes[[#This Row],[Reb/NT]],IF(Taula_Alumnes[[#This Row],[Ok]]="Pendent","Sí","No"),"No")</f>
        <v>Sí</v>
      </c>
      <c r="I2" s="4" t="str">
        <f>IF(Taula_Alumnes[[#This Row],[Tipus]]=Taula_Alumnes[[#This Row],[Estat]],"Assignat",IF(Taula_Alumnes[[#This Row],[Estat]]="Pràctiques finalitzades","Finalitzades","Pendent"))</f>
        <v>Pendent</v>
      </c>
      <c r="J2" s="4"/>
      <c r="K2" s="4" t="s">
        <v>341</v>
      </c>
      <c r="L2" s="9">
        <v>39307</v>
      </c>
      <c r="M2" s="6" t="str">
        <f ca="1">_xlfn.CONCAT(TEXT(_xlfn.DAYS(TODAY(),Taula_Alumnes[[#This Row],[Data Naixement]])/365,"##")," anys")</f>
        <v>19 anys</v>
      </c>
      <c r="N2" s="10">
        <v>642186131</v>
      </c>
      <c r="O2" s="10">
        <v>631765167</v>
      </c>
      <c r="P2" s="4" t="str">
        <f>IFERROR(VLOOKUP(Taula_Alumnes[[#This Row],[DNI/NIE/Passaport]],Questionari!D:O,11,FALSE),"")</f>
        <v>AGBA 0 070813 00 9</v>
      </c>
      <c r="Q2" s="30" t="str">
        <f>IFERROR(VLOOKUP(Taula_Alumnes[[#This Row],[DNI/NIE/Passaport]],Questionari!D:O,12,FALSE),"-")</f>
        <v>-</v>
      </c>
      <c r="R2" s="5" t="s">
        <v>173</v>
      </c>
      <c r="S2" s="5" t="str">
        <f>IFERROR(VLOOKUP(Taula_Alumnes[[#This Row],[DNI/NIE/Passaport]],Questionari!D:O,5,FALSE),"")</f>
        <v>BV-2041 KM 3.5 GAVA</v>
      </c>
      <c r="T2" s="5" t="str">
        <f>IFERROR(VLOOKUP(Taula_Alumnes[[#This Row],[DNI/NIE/Passaport]],Questionari!D:O,6,FALSE),"")</f>
        <v>GAVA</v>
      </c>
      <c r="U2" s="20">
        <f>IFERROR(VLOOKUP(Taula_Alumnes[[#This Row],[DNI/NIE/Passaport]],Questionari!D:O,7,FALSE),"")</f>
        <v>8850</v>
      </c>
      <c r="W2" s="22" t="s">
        <v>2</v>
      </c>
      <c r="X2" s="4" t="s">
        <v>0</v>
      </c>
      <c r="Y2" s="4" t="s">
        <v>20</v>
      </c>
      <c r="Z2" s="4"/>
      <c r="AA2" s="4"/>
      <c r="AB2" s="4"/>
      <c r="AC2" s="4"/>
      <c r="AD2" s="38"/>
      <c r="AE2" s="38"/>
      <c r="AF2" s="6"/>
      <c r="AG2" s="5"/>
      <c r="AH2" s="4"/>
      <c r="AJ2" s="4"/>
    </row>
    <row r="3" spans="1:36" ht="13.5" hidden="1" customHeight="1" x14ac:dyDescent="0.35">
      <c r="A3" s="4">
        <v>2</v>
      </c>
      <c r="B3" s="32" t="str">
        <f>HYPERLINK(_xlfn.CONCAT("D:\La meva unitat\FCT\Promoció 2025-27\Alumnes\",Taula_Alumnes[[#This Row],[Nom sencer]],"\CV_",Taula_Alumnes[[#This Row],[Nom sencer]],".pdf"),"CV")</f>
        <v>CV</v>
      </c>
      <c r="C3" s="5" t="s">
        <v>73</v>
      </c>
      <c r="D3" s="5" t="s">
        <v>74</v>
      </c>
      <c r="E3" s="5" t="str">
        <f>_xlfn.CONCAT(TRIM(Taula_Alumnes[[#This Row],[Cognoms]]), ", ", TRIM(Taula_Alumnes[[#This Row],[Nom]]))</f>
        <v>Almendros García, Javier</v>
      </c>
      <c r="F3" s="4">
        <f>COUNTIF(Seguiment!F:F,Taula_Alumnes[[#This Row],[Nom sencer]])</f>
        <v>1</v>
      </c>
      <c r="G3" s="4">
        <f>COUNTIF(Seguiment!G:G,Taula_Alumnes[[#This Row],[Nom sencer]])++COUNTIF(Seguiment!H:H,Taula_Alumnes[[#This Row],[Nom sencer]])</f>
        <v>0</v>
      </c>
      <c r="H3" s="4" t="str">
        <f>IF(Taula_Alumnes[[#This Row],[Env]]=Taula_Alumnes[[#This Row],[Reb/NT]],IF(Taula_Alumnes[[#This Row],[Ok]]="Pendent","Sí","No"),"No")</f>
        <v>No</v>
      </c>
      <c r="I3" s="4" t="str">
        <f>IF(Taula_Alumnes[[#This Row],[Tipus]]=Taula_Alumnes[[#This Row],[Estat]],"Assignat",IF(Taula_Alumnes[[#This Row],[Estat]]="Pràctiques finalitzades","Finalitzades","Pendent"))</f>
        <v>Assignat</v>
      </c>
      <c r="J3" s="4"/>
      <c r="K3" s="4" t="s">
        <v>147</v>
      </c>
      <c r="L3" s="9">
        <v>39167</v>
      </c>
      <c r="M3" s="6" t="str">
        <f ca="1">_xlfn.CONCAT(TEXT(_xlfn.DAYS(TODAY(),Taula_Alumnes[[#This Row],[Data Naixement]])/365,"##")," anys")</f>
        <v>19 anys</v>
      </c>
      <c r="N3" s="10">
        <v>689066146</v>
      </c>
      <c r="O3" s="10">
        <v>636873498</v>
      </c>
      <c r="P3" s="4" t="str">
        <f>IFERROR(VLOOKUP(Taula_Alumnes[[#This Row],[DNI/NIE/Passaport]],Questionari!D:O,11,FALSE),"")</f>
        <v>ALGA 0 070320 00 2</v>
      </c>
      <c r="Q3" s="30">
        <f>IFERROR(VLOOKUP(Taula_Alumnes[[#This Row],[DNI/NIE/Passaport]],Questionari!D:O,12,FALSE),"-")</f>
        <v>81272358665</v>
      </c>
      <c r="R3" s="5" t="s">
        <v>174</v>
      </c>
      <c r="S3" s="5" t="str">
        <f>IFERROR(VLOOKUP(Taula_Alumnes[[#This Row],[DNI/NIE/Passaport]],Questionari!D:O,5,FALSE),"")</f>
        <v>carretera reial 79</v>
      </c>
      <c r="T3" s="5" t="str">
        <f>IFERROR(VLOOKUP(Taula_Alumnes[[#This Row],[DNI/NIE/Passaport]],Questionari!D:O,6,FALSE),"")</f>
        <v>Sant Just Desvern</v>
      </c>
      <c r="U3" s="20">
        <f>IFERROR(VLOOKUP(Taula_Alumnes[[#This Row],[DNI/NIE/Passaport]],Questionari!D:O,7,FALSE),"")</f>
        <v>8960</v>
      </c>
      <c r="W3" s="22" t="s">
        <v>1</v>
      </c>
      <c r="X3" s="4" t="s">
        <v>1</v>
      </c>
      <c r="Y3" s="4" t="s">
        <v>380</v>
      </c>
      <c r="Z3" s="4" t="s">
        <v>409</v>
      </c>
      <c r="AA3" s="4">
        <v>930096914</v>
      </c>
      <c r="AB3" s="32" t="s">
        <v>379</v>
      </c>
      <c r="AC3" s="4" t="s">
        <v>408</v>
      </c>
      <c r="AD3" s="38">
        <v>46113</v>
      </c>
      <c r="AE3" s="38">
        <v>46507</v>
      </c>
      <c r="AF3" s="6">
        <v>1000</v>
      </c>
      <c r="AG3" s="5"/>
      <c r="AH3" s="4"/>
      <c r="AJ3" s="4"/>
    </row>
    <row r="4" spans="1:36" ht="13.5" hidden="1" customHeight="1" x14ac:dyDescent="0.35">
      <c r="A4" s="4">
        <v>3</v>
      </c>
      <c r="B4" s="32" t="str">
        <f>HYPERLINK(_xlfn.CONCAT("D:\La meva unitat\FCT\Promoció 2025-27\Alumnes\",Taula_Alumnes[[#This Row],[Nom sencer]],"\CV_",Taula_Alumnes[[#This Row],[Nom sencer]],".pdf"),"CV")</f>
        <v>CV</v>
      </c>
      <c r="C4" s="5" t="s">
        <v>76</v>
      </c>
      <c r="D4" s="5" t="s">
        <v>19</v>
      </c>
      <c r="E4" s="5" t="str">
        <f>_xlfn.CONCAT(TRIM(Taula_Alumnes[[#This Row],[Cognoms]]), ", ", TRIM(Taula_Alumnes[[#This Row],[Nom]]))</f>
        <v>Barrios López, Iván</v>
      </c>
      <c r="F4" s="4">
        <f>COUNTIF(Seguiment!F:F,Taula_Alumnes[[#This Row],[Nom sencer]])</f>
        <v>0</v>
      </c>
      <c r="G4" s="4">
        <f>COUNTIF(Seguiment!G:G,Taula_Alumnes[[#This Row],[Nom sencer]])++COUNTIF(Seguiment!H:H,Taula_Alumnes[[#This Row],[Nom sencer]])</f>
        <v>0</v>
      </c>
      <c r="H4" s="4" t="str">
        <f>IF(Taula_Alumnes[[#This Row],[Env]]=Taula_Alumnes[[#This Row],[Reb/NT]],IF(Taula_Alumnes[[#This Row],[Ok]]="Pendent","Sí","No"),"No")</f>
        <v>Sí</v>
      </c>
      <c r="I4" s="4" t="str">
        <f>IF(Taula_Alumnes[[#This Row],[Tipus]]=Taula_Alumnes[[#This Row],[Estat]],"Assignat",IF(Taula_Alumnes[[#This Row],[Estat]]="Pràctiques finalitzades","Finalitzades","Pendent"))</f>
        <v>Pendent</v>
      </c>
      <c r="J4" s="4" t="s">
        <v>464</v>
      </c>
      <c r="K4" s="4" t="s">
        <v>148</v>
      </c>
      <c r="L4" s="9">
        <v>39154</v>
      </c>
      <c r="M4" s="6" t="str">
        <f ca="1">_xlfn.CONCAT(TEXT(_xlfn.DAYS(TODAY(),Taula_Alumnes[[#This Row],[Data Naixement]])/365,"##")," anys")</f>
        <v>19 anys</v>
      </c>
      <c r="N4" s="10">
        <v>622851303</v>
      </c>
      <c r="O4" s="10">
        <v>936562572</v>
      </c>
      <c r="P4" s="4" t="str">
        <f>IFERROR(VLOOKUP(Taula_Alumnes[[#This Row],[DNI/NIE/Passaport]],Questionari!D:O,11,FALSE),"")</f>
        <v>BALO 0 070313 00 9</v>
      </c>
      <c r="Q4" s="30">
        <f>IFERROR(VLOOKUP(Taula_Alumnes[[#This Row],[DNI/NIE/Passaport]],Questionari!D:O,12,FALSE),"-")</f>
        <v>81472398735</v>
      </c>
      <c r="R4" s="5" t="s">
        <v>175</v>
      </c>
      <c r="S4" s="5" t="str">
        <f>IFERROR(VLOOKUP(Taula_Alumnes[[#This Row],[DNI/NIE/Passaport]],Questionari!D:O,5,FALSE),"")</f>
        <v>C/Salvador Allende, 7-11</v>
      </c>
      <c r="T4" s="5" t="str">
        <f>IFERROR(VLOOKUP(Taula_Alumnes[[#This Row],[DNI/NIE/Passaport]],Questionari!D:O,6,FALSE),"")</f>
        <v>Sant Vicenç desl Horts</v>
      </c>
      <c r="U4" s="20">
        <f>IFERROR(VLOOKUP(Taula_Alumnes[[#This Row],[DNI/NIE/Passaport]],Questionari!D:O,7,FALSE),"")</f>
        <v>8620</v>
      </c>
      <c r="W4" s="22" t="s">
        <v>1</v>
      </c>
      <c r="X4" s="4" t="s">
        <v>0</v>
      </c>
      <c r="Y4" s="4" t="s">
        <v>20</v>
      </c>
      <c r="Z4" s="4"/>
      <c r="AA4" s="4"/>
      <c r="AB4" s="4"/>
      <c r="AC4" s="4"/>
      <c r="AD4" s="38"/>
      <c r="AE4" s="38"/>
      <c r="AF4" s="6"/>
      <c r="AG4" s="5"/>
      <c r="AH4" s="4"/>
      <c r="AJ4" s="4"/>
    </row>
    <row r="5" spans="1:36" ht="13.5" hidden="1" customHeight="1" x14ac:dyDescent="0.35">
      <c r="A5" s="4">
        <v>4</v>
      </c>
      <c r="B5" s="32" t="str">
        <f>HYPERLINK(_xlfn.CONCAT("D:\La meva unitat\FCT\Promoció 2025-27\Alumnes\",Taula_Alumnes[[#This Row],[Nom sencer]],"\CV_",Taula_Alumnes[[#This Row],[Nom sencer]],".pdf"),"CV")</f>
        <v>CV</v>
      </c>
      <c r="C5" s="5" t="s">
        <v>78</v>
      </c>
      <c r="D5" s="5" t="s">
        <v>16</v>
      </c>
      <c r="E5" s="5" t="str">
        <f>_xlfn.CONCAT(TRIM(Taula_Alumnes[[#This Row],[Cognoms]]), ", ", TRIM(Taula_Alumnes[[#This Row],[Nom]]))</f>
        <v>Benítes Zambrano, David</v>
      </c>
      <c r="F5" s="4">
        <f>COUNTIF(Seguiment!F:F,Taula_Alumnes[[#This Row],[Nom sencer]])</f>
        <v>4</v>
      </c>
      <c r="G5" s="4">
        <f>COUNTIF(Seguiment!G:G,Taula_Alumnes[[#This Row],[Nom sencer]])++COUNTIF(Seguiment!H:H,Taula_Alumnes[[#This Row],[Nom sencer]])</f>
        <v>4</v>
      </c>
      <c r="H5" s="4" t="str">
        <f>IF(Taula_Alumnes[[#This Row],[Env]]=Taula_Alumnes[[#This Row],[Reb/NT]],IF(Taula_Alumnes[[#This Row],[Ok]]="Pendent","Sí","No"),"No")</f>
        <v>Sí</v>
      </c>
      <c r="I5" s="4" t="str">
        <f>IF(Taula_Alumnes[[#This Row],[Tipus]]=Taula_Alumnes[[#This Row],[Estat]],"Assignat",IF(Taula_Alumnes[[#This Row],[Estat]]="Pràctiques finalitzades","Finalitzades","Pendent"))</f>
        <v>Pendent</v>
      </c>
      <c r="J5" s="4"/>
      <c r="K5" s="4" t="s">
        <v>149</v>
      </c>
      <c r="L5" s="9">
        <v>38693</v>
      </c>
      <c r="M5" s="6" t="str">
        <f ca="1">_xlfn.CONCAT(TEXT(_xlfn.DAYS(TODAY(),Taula_Alumnes[[#This Row],[Data Naixement]])/365,"##")," anys")</f>
        <v>20 anys</v>
      </c>
      <c r="N5" s="10">
        <v>617342497</v>
      </c>
      <c r="O5" s="10">
        <v>617342497</v>
      </c>
      <c r="P5" s="4" t="str">
        <f>IFERROR(VLOOKUP(Taula_Alumnes[[#This Row],[DNI/NIE/Passaport]],Questionari!D:O,11,FALSE),"")</f>
        <v>BEZA 0 051207 00 7</v>
      </c>
      <c r="Q5" s="30">
        <f>IFERROR(VLOOKUP(Taula_Alumnes[[#This Row],[DNI/NIE/Passaport]],Questionari!D:O,12,FALSE),"-")</f>
        <v>81473104108</v>
      </c>
      <c r="R5" s="5" t="s">
        <v>176</v>
      </c>
      <c r="S5" s="5" t="str">
        <f>IFERROR(VLOOKUP(Taula_Alumnes[[#This Row],[DNI/NIE/Passaport]],Questionari!D:O,5,FALSE),"")</f>
        <v>Rambla de Mercedes, 14</v>
      </c>
      <c r="T5" s="5" t="str">
        <f>IFERROR(VLOOKUP(Taula_Alumnes[[#This Row],[DNI/NIE/Passaport]],Questionari!D:O,6,FALSE),"")</f>
        <v>Barcelona</v>
      </c>
      <c r="U5" s="20">
        <f>IFERROR(VLOOKUP(Taula_Alumnes[[#This Row],[DNI/NIE/Passaport]],Questionari!D:O,7,FALSE),"")</f>
        <v>8024</v>
      </c>
      <c r="W5" s="22" t="s">
        <v>1</v>
      </c>
      <c r="X5" s="4" t="s">
        <v>0</v>
      </c>
      <c r="Y5" s="4" t="s">
        <v>20</v>
      </c>
      <c r="Z5" s="4"/>
      <c r="AA5" s="4"/>
      <c r="AB5" s="4"/>
      <c r="AC5" s="4"/>
      <c r="AD5" s="38"/>
      <c r="AE5" s="38"/>
      <c r="AF5" s="6"/>
      <c r="AG5" s="5"/>
      <c r="AH5" s="4"/>
      <c r="AJ5" s="4"/>
    </row>
    <row r="6" spans="1:36" ht="13.5" hidden="1" customHeight="1" x14ac:dyDescent="0.35">
      <c r="A6" s="4">
        <v>5</v>
      </c>
      <c r="B6" s="32" t="str">
        <f>HYPERLINK(_xlfn.CONCAT("D:\La meva unitat\FCT\Promoció 2025-27\Alumnes\",Taula_Alumnes[[#This Row],[Nom sencer]],"\CV_",Taula_Alumnes[[#This Row],[Nom sencer]],".pdf"),"CV")</f>
        <v>CV</v>
      </c>
      <c r="C6" s="5" t="s">
        <v>80</v>
      </c>
      <c r="D6" s="5" t="s">
        <v>81</v>
      </c>
      <c r="E6" s="5" t="str">
        <f>_xlfn.CONCAT(TRIM(Taula_Alumnes[[#This Row],[Cognoms]]), ", ", TRIM(Taula_Alumnes[[#This Row],[Nom]]))</f>
        <v>Bonfil Valldeperas, Arnau</v>
      </c>
      <c r="F6" s="4">
        <f>COUNTIF(Seguiment!F:F,Taula_Alumnes[[#This Row],[Nom sencer]])</f>
        <v>1</v>
      </c>
      <c r="G6" s="4">
        <f>COUNTIF(Seguiment!G:G,Taula_Alumnes[[#This Row],[Nom sencer]])++COUNTIF(Seguiment!H:H,Taula_Alumnes[[#This Row],[Nom sencer]])</f>
        <v>0</v>
      </c>
      <c r="H6" s="4" t="str">
        <f>IF(Taula_Alumnes[[#This Row],[Env]]=Taula_Alumnes[[#This Row],[Reb/NT]],IF(Taula_Alumnes[[#This Row],[Ok]]="Pendent","Sí","No"),"No")</f>
        <v>No</v>
      </c>
      <c r="I6" s="4" t="str">
        <f>IF(Taula_Alumnes[[#This Row],[Tipus]]=Taula_Alumnes[[#This Row],[Estat]],"Assignat",IF(Taula_Alumnes[[#This Row],[Estat]]="Pràctiques finalitzades","Finalitzades","Pendent"))</f>
        <v>Pendent</v>
      </c>
      <c r="J6" s="4" t="s">
        <v>382</v>
      </c>
      <c r="K6" s="4" t="s">
        <v>150</v>
      </c>
      <c r="L6" s="9">
        <v>39342</v>
      </c>
      <c r="M6" s="6" t="str">
        <f ca="1">_xlfn.CONCAT(TEXT(_xlfn.DAYS(TODAY(),Taula_Alumnes[[#This Row],[Data Naixement]])/365,"##")," anys")</f>
        <v>19 anys</v>
      </c>
      <c r="N6" s="10">
        <v>638383900</v>
      </c>
      <c r="O6" s="10">
        <v>937772211</v>
      </c>
      <c r="P6" s="4" t="str">
        <f>IFERROR(VLOOKUP(Taula_Alumnes[[#This Row],[DNI/NIE/Passaport]],Questionari!D:O,11,FALSE),"")</f>
        <v>BOVA 0 070917 00 3</v>
      </c>
      <c r="Q6" s="30">
        <f>IFERROR(VLOOKUP(Taula_Alumnes[[#This Row],[DNI/NIE/Passaport]],Questionari!D:O,12,FALSE),"-")</f>
        <v>81472197459</v>
      </c>
      <c r="R6" s="5" t="s">
        <v>177</v>
      </c>
      <c r="S6" s="5" t="str">
        <f>IFERROR(VLOOKUP(Taula_Alumnes[[#This Row],[DNI/NIE/Passaport]],Questionari!D:O,5,FALSE),"")</f>
        <v>Carrer d'Amadeu Vives 15 1r 3ra</v>
      </c>
      <c r="T6" s="5" t="str">
        <f>IFERROR(VLOOKUP(Taula_Alumnes[[#This Row],[DNI/NIE/Passaport]],Questionari!D:O,6,FALSE),"")</f>
        <v>Esparreguera</v>
      </c>
      <c r="U6" s="20">
        <f>IFERROR(VLOOKUP(Taula_Alumnes[[#This Row],[DNI/NIE/Passaport]],Questionari!D:O,7,FALSE),"")</f>
        <v>8292</v>
      </c>
      <c r="W6" s="22" t="s">
        <v>1</v>
      </c>
      <c r="X6" s="4" t="s">
        <v>54</v>
      </c>
      <c r="Y6" s="4" t="s">
        <v>448</v>
      </c>
      <c r="Z6" s="4"/>
      <c r="AA6" s="4"/>
      <c r="AB6" s="4"/>
      <c r="AC6" s="4"/>
      <c r="AD6" s="38"/>
      <c r="AE6" s="38"/>
      <c r="AF6" s="6"/>
      <c r="AG6" s="5"/>
      <c r="AH6" s="4"/>
      <c r="AJ6" s="4"/>
    </row>
    <row r="7" spans="1:36" ht="13.5" hidden="1" customHeight="1" x14ac:dyDescent="0.35">
      <c r="A7" s="4">
        <v>6</v>
      </c>
      <c r="B7" s="32" t="str">
        <f>HYPERLINK(_xlfn.CONCAT("D:\La meva unitat\FCT\Promoció 2025-27\Alumnes\",Taula_Alumnes[[#This Row],[Nom sencer]],"\CV_",Taula_Alumnes[[#This Row],[Nom sencer]],".pdf"),"CV")</f>
        <v>CV</v>
      </c>
      <c r="C7" s="5" t="s">
        <v>83</v>
      </c>
      <c r="D7" s="5" t="s">
        <v>84</v>
      </c>
      <c r="E7" s="5" t="str">
        <f>_xlfn.CONCAT(TRIM(Taula_Alumnes[[#This Row],[Cognoms]]), ", ", TRIM(Taula_Alumnes[[#This Row],[Nom]]))</f>
        <v>Camps Atmetller, Jan</v>
      </c>
      <c r="F7" s="4">
        <f>COUNTIF(Seguiment!F:F,Taula_Alumnes[[#This Row],[Nom sencer]])</f>
        <v>0</v>
      </c>
      <c r="G7" s="4">
        <f>COUNTIF(Seguiment!G:G,Taula_Alumnes[[#This Row],[Nom sencer]])++COUNTIF(Seguiment!H:H,Taula_Alumnes[[#This Row],[Nom sencer]])</f>
        <v>0</v>
      </c>
      <c r="H7" s="4" t="str">
        <f>IF(Taula_Alumnes[[#This Row],[Env]]=Taula_Alumnes[[#This Row],[Reb/NT]],IF(Taula_Alumnes[[#This Row],[Ok]]="Pendent","Sí","No"),"No")</f>
        <v>Sí</v>
      </c>
      <c r="I7" s="4" t="str">
        <f>IF(Taula_Alumnes[[#This Row],[Tipus]]=Taula_Alumnes[[#This Row],[Estat]],"Assignat",IF(Taula_Alumnes[[#This Row],[Estat]]="Pràctiques finalitzades","Finalitzades","Pendent"))</f>
        <v>Pendent</v>
      </c>
      <c r="J7" s="4" t="s">
        <v>398</v>
      </c>
      <c r="K7" s="4" t="s">
        <v>151</v>
      </c>
      <c r="L7" s="9">
        <v>39239</v>
      </c>
      <c r="M7" s="6" t="str">
        <f ca="1">_xlfn.CONCAT(TEXT(_xlfn.DAYS(TODAY(),Taula_Alumnes[[#This Row],[Data Naixement]])/365,"##")," anys")</f>
        <v>19 anys</v>
      </c>
      <c r="N7" s="10">
        <v>722586444</v>
      </c>
      <c r="O7" s="10">
        <v>936974496</v>
      </c>
      <c r="P7" s="4" t="str">
        <f>IFERROR(VLOOKUP(Taula_Alumnes[[#This Row],[DNI/NIE/Passaport]],Questionari!D:O,11,FALSE),"")</f>
        <v>CAAT 0 070606 01 5</v>
      </c>
      <c r="Q7" s="30">
        <f>IFERROR(VLOOKUP(Taula_Alumnes[[#This Row],[DNI/NIE/Passaport]],Questionari!D:O,12,FALSE),"-")</f>
        <v>281595167663</v>
      </c>
      <c r="R7" s="5" t="s">
        <v>178</v>
      </c>
      <c r="S7" s="5" t="str">
        <f>IFERROR(VLOOKUP(Taula_Alumnes[[#This Row],[DNI/NIE/Passaport]],Questionari!D:O,5,FALSE),"")</f>
        <v>Carrer Sant Jaume nº 31</v>
      </c>
      <c r="T7" s="5" t="str">
        <f>IFERROR(VLOOKUP(Taula_Alumnes[[#This Row],[DNI/NIE/Passaport]],Questionari!D:O,6,FALSE),"")</f>
        <v>Rubí</v>
      </c>
      <c r="U7" s="20">
        <f>IFERROR(VLOOKUP(Taula_Alumnes[[#This Row],[DNI/NIE/Passaport]],Questionari!D:O,7,FALSE),"")</f>
        <v>8191</v>
      </c>
      <c r="W7" s="22" t="s">
        <v>29</v>
      </c>
      <c r="X7" s="4" t="s">
        <v>0</v>
      </c>
      <c r="Y7" s="4" t="s">
        <v>20</v>
      </c>
      <c r="Z7" s="4"/>
      <c r="AA7" s="4"/>
      <c r="AB7" s="4"/>
      <c r="AC7" s="4"/>
      <c r="AD7" s="38"/>
      <c r="AE7" s="38"/>
      <c r="AF7" s="6"/>
      <c r="AG7" s="5"/>
      <c r="AH7" s="4"/>
      <c r="AJ7" s="4"/>
    </row>
    <row r="8" spans="1:36" ht="13.5" customHeight="1" x14ac:dyDescent="0.35">
      <c r="A8" s="4">
        <v>7</v>
      </c>
      <c r="B8" s="32" t="str">
        <f>HYPERLINK(_xlfn.CONCAT("D:\La meva unitat\FCT\Promoció 2025-27\Alumnes\",Taula_Alumnes[[#This Row],[Nom sencer]],"\CV_",Taula_Alumnes[[#This Row],[Nom sencer]],".pdf"),"CV")</f>
        <v>CV</v>
      </c>
      <c r="C8" s="5" t="s">
        <v>86</v>
      </c>
      <c r="D8" s="5" t="s">
        <v>87</v>
      </c>
      <c r="E8" s="5" t="str">
        <f>_xlfn.CONCAT(TRIM(Taula_Alumnes[[#This Row],[Cognoms]]), ", ", TRIM(Taula_Alumnes[[#This Row],[Nom]]))</f>
        <v>Cebrián Piñeiro, Rocco</v>
      </c>
      <c r="F8" s="4">
        <f>COUNTIF(Seguiment!F:F,Taula_Alumnes[[#This Row],[Nom sencer]])</f>
        <v>0</v>
      </c>
      <c r="G8" s="4">
        <f>COUNTIF(Seguiment!G:G,Taula_Alumnes[[#This Row],[Nom sencer]])++COUNTIF(Seguiment!H:H,Taula_Alumnes[[#This Row],[Nom sencer]])</f>
        <v>0</v>
      </c>
      <c r="H8" s="4" t="str">
        <f>IF(Taula_Alumnes[[#This Row],[Env]]=Taula_Alumnes[[#This Row],[Reb/NT]],IF(Taula_Alumnes[[#This Row],[Ok]]="Pendent","Sí","No"),"No")</f>
        <v>Sí</v>
      </c>
      <c r="I8" s="4" t="str">
        <f>IF(Taula_Alumnes[[#This Row],[Tipus]]=Taula_Alumnes[[#This Row],[Estat]],"Assignat",IF(Taula_Alumnes[[#This Row],[Estat]]="Pràctiques finalitzades","Finalitzades","Pendent"))</f>
        <v>Pendent</v>
      </c>
      <c r="J8" s="4"/>
      <c r="K8" s="4" t="s">
        <v>152</v>
      </c>
      <c r="L8" s="9">
        <v>39378</v>
      </c>
      <c r="M8" s="6" t="str">
        <f ca="1">_xlfn.CONCAT(TEXT(_xlfn.DAYS(TODAY(),Taula_Alumnes[[#This Row],[Data Naixement]])/365,"##")," anys")</f>
        <v>19 anys</v>
      </c>
      <c r="N8" s="10">
        <v>676023741</v>
      </c>
      <c r="O8" s="10">
        <v>656321228</v>
      </c>
      <c r="P8" s="4" t="str">
        <f>IFERROR(VLOOKUP(Taula_Alumnes[[#This Row],[DNI/NIE/Passaport]],Questionari!D:O,11,FALSE),"")</f>
        <v>CEPI 0 071023 00 5</v>
      </c>
      <c r="Q8" s="30">
        <f>IFERROR(VLOOKUP(Taula_Alumnes[[#This Row],[DNI/NIE/Passaport]],Questionari!D:O,12,FALSE),"-")</f>
        <v>81379105448</v>
      </c>
      <c r="R8" s="5" t="s">
        <v>179</v>
      </c>
      <c r="S8" s="5" t="str">
        <f>IFERROR(VLOOKUP(Taula_Alumnes[[#This Row],[DNI/NIE/Passaport]],Questionari!D:O,5,FALSE),"")</f>
        <v>Carolina catasus i bosch</v>
      </c>
      <c r="T8" s="5" t="str">
        <f>IFERROR(VLOOKUP(Taula_Alumnes[[#This Row],[DNI/NIE/Passaport]],Questionari!D:O,6,FALSE),"")</f>
        <v>Sant Feliu de Llobregat</v>
      </c>
      <c r="U8" s="20">
        <f>IFERROR(VLOOKUP(Taula_Alumnes[[#This Row],[DNI/NIE/Passaport]],Questionari!D:O,7,FALSE),"")</f>
        <v>8980</v>
      </c>
      <c r="W8" s="22" t="s">
        <v>2</v>
      </c>
      <c r="X8" s="4" t="s">
        <v>0</v>
      </c>
      <c r="Y8" s="4" t="s">
        <v>20</v>
      </c>
      <c r="Z8" s="4"/>
      <c r="AA8" s="4"/>
      <c r="AB8" s="4"/>
      <c r="AC8" s="4"/>
      <c r="AD8" s="38"/>
      <c r="AE8" s="38"/>
      <c r="AF8" s="6"/>
      <c r="AG8" s="5"/>
      <c r="AH8" s="4"/>
      <c r="AJ8" s="4"/>
    </row>
    <row r="9" spans="1:36" ht="13.5" hidden="1" customHeight="1" x14ac:dyDescent="0.35">
      <c r="A9" s="4">
        <v>8</v>
      </c>
      <c r="B9" s="32" t="str">
        <f>HYPERLINK(_xlfn.CONCAT("D:\La meva unitat\FCT\Promoció 2025-27\Alumnes\",Taula_Alumnes[[#This Row],[Nom sencer]],"\CV_",Taula_Alumnes[[#This Row],[Nom sencer]],".pdf"),"CV")</f>
        <v>CV</v>
      </c>
      <c r="C9" s="5" t="s">
        <v>89</v>
      </c>
      <c r="D9" s="5" t="s">
        <v>90</v>
      </c>
      <c r="E9" s="5" t="str">
        <f>_xlfn.CONCAT(TRIM(Taula_Alumnes[[#This Row],[Cognoms]]), ", ", TRIM(Taula_Alumnes[[#This Row],[Nom]]))</f>
        <v>Chavero Grande, Pau</v>
      </c>
      <c r="F9" s="4">
        <f>COUNTIF(Seguiment!F:F,Taula_Alumnes[[#This Row],[Nom sencer]])</f>
        <v>1</v>
      </c>
      <c r="G9" s="4">
        <f>COUNTIF(Seguiment!G:G,Taula_Alumnes[[#This Row],[Nom sencer]])++COUNTIF(Seguiment!H:H,Taula_Alumnes[[#This Row],[Nom sencer]])</f>
        <v>1</v>
      </c>
      <c r="H9" s="4" t="str">
        <f>IF(Taula_Alumnes[[#This Row],[Env]]=Taula_Alumnes[[#This Row],[Reb/NT]],IF(Taula_Alumnes[[#This Row],[Ok]]="Pendent","Sí","No"),"No")</f>
        <v>Sí</v>
      </c>
      <c r="I9" s="4" t="str">
        <f>IF(Taula_Alumnes[[#This Row],[Tipus]]=Taula_Alumnes[[#This Row],[Estat]],"Assignat",IF(Taula_Alumnes[[#This Row],[Estat]]="Pràctiques finalitzades","Finalitzades","Pendent"))</f>
        <v>Pendent</v>
      </c>
      <c r="J9" s="4"/>
      <c r="K9" s="4" t="s">
        <v>153</v>
      </c>
      <c r="L9" s="9">
        <v>39078</v>
      </c>
      <c r="M9" s="6" t="str">
        <f ca="1">_xlfn.CONCAT(TEXT(_xlfn.DAYS(TODAY(),Taula_Alumnes[[#This Row],[Data Naixement]])/365,"##")," anys")</f>
        <v>19 anys</v>
      </c>
      <c r="N9" s="10">
        <v>691095180</v>
      </c>
      <c r="O9" s="10">
        <v>933501731</v>
      </c>
      <c r="P9" s="4" t="str">
        <f>IFERROR(VLOOKUP(Taula_Alumnes[[#This Row],[DNI/NIE/Passaport]],Questionari!D:O,11,FALSE),"")</f>
        <v>CHGR 0 061227 00 5</v>
      </c>
      <c r="Q9" s="30">
        <f>IFERROR(VLOOKUP(Taula_Alumnes[[#This Row],[DNI/NIE/Passaport]],Questionari!D:O,12,FALSE),"-")</f>
        <v>81472172096</v>
      </c>
      <c r="R9" s="5" t="s">
        <v>180</v>
      </c>
      <c r="S9" s="5" t="str">
        <f>IFERROR(VLOOKUP(Taula_Alumnes[[#This Row],[DNI/NIE/Passaport]],Questionari!D:O,5,FALSE),"")</f>
        <v>Carrer del japò 29 2-2</v>
      </c>
      <c r="T9" s="5" t="str">
        <f>IFERROR(VLOOKUP(Taula_Alumnes[[#This Row],[DNI/NIE/Passaport]],Questionari!D:O,6,FALSE),"")</f>
        <v>Barcelona</v>
      </c>
      <c r="U9" s="20">
        <f>IFERROR(VLOOKUP(Taula_Alumnes[[#This Row],[DNI/NIE/Passaport]],Questionari!D:O,7,FALSE),"")</f>
        <v>8016</v>
      </c>
      <c r="W9" s="22" t="s">
        <v>1</v>
      </c>
      <c r="X9" s="4" t="s">
        <v>0</v>
      </c>
      <c r="Y9" s="4" t="s">
        <v>20</v>
      </c>
      <c r="Z9" s="4"/>
      <c r="AA9" s="4"/>
      <c r="AB9" s="4"/>
      <c r="AC9" s="4"/>
      <c r="AD9" s="38"/>
      <c r="AE9" s="38"/>
      <c r="AF9" s="6"/>
      <c r="AG9" s="5"/>
      <c r="AH9" s="4"/>
      <c r="AJ9" s="4"/>
    </row>
    <row r="10" spans="1:36" ht="13.5" customHeight="1" x14ac:dyDescent="0.35">
      <c r="A10" s="4">
        <v>10</v>
      </c>
      <c r="B10" s="32" t="str">
        <f>HYPERLINK(_xlfn.CONCAT("D:\La meva unitat\FCT\Promoció 2025-27\Alumnes\",Taula_Alumnes[[#This Row],[Nom sencer]],"\CV_",Taula_Alumnes[[#This Row],[Nom sencer]],".pdf"),"CV")</f>
        <v>CV</v>
      </c>
      <c r="C10" s="5" t="s">
        <v>93</v>
      </c>
      <c r="D10" s="5" t="s">
        <v>94</v>
      </c>
      <c r="E10" s="5" t="str">
        <f>_xlfn.CONCAT(TRIM(Taula_Alumnes[[#This Row],[Cognoms]]), ", ", TRIM(Taula_Alumnes[[#This Row],[Nom]]))</f>
        <v>Corbelle Padin, Iago</v>
      </c>
      <c r="F10" s="4">
        <f>COUNTIF(Seguiment!F:F,Taula_Alumnes[[#This Row],[Nom sencer]])</f>
        <v>1</v>
      </c>
      <c r="G10" s="4">
        <f>COUNTIF(Seguiment!G:G,Taula_Alumnes[[#This Row],[Nom sencer]])++COUNTIF(Seguiment!H:H,Taula_Alumnes[[#This Row],[Nom sencer]])</f>
        <v>0</v>
      </c>
      <c r="H10" s="4" t="str">
        <f>IF(Taula_Alumnes[[#This Row],[Env]]=Taula_Alumnes[[#This Row],[Reb/NT]],IF(Taula_Alumnes[[#This Row],[Ok]]="Pendent","Sí","No"),"No")</f>
        <v>No</v>
      </c>
      <c r="I10" s="4" t="str">
        <f>IF(Taula_Alumnes[[#This Row],[Tipus]]=Taula_Alumnes[[#This Row],[Estat]],"Assignat",IF(Taula_Alumnes[[#This Row],[Estat]]="Pràctiques finalitzades","Finalitzades","Pendent"))</f>
        <v>Pendent</v>
      </c>
      <c r="J10" s="4" t="s">
        <v>464</v>
      </c>
      <c r="K10" s="4" t="s">
        <v>154</v>
      </c>
      <c r="L10" s="9">
        <v>39291</v>
      </c>
      <c r="M10" s="6" t="str">
        <f ca="1">_xlfn.CONCAT(TEXT(_xlfn.DAYS(TODAY(),Taula_Alumnes[[#This Row],[Data Naixement]])/365,"##")," anys")</f>
        <v>19 anys</v>
      </c>
      <c r="N10" s="10">
        <v>648635894</v>
      </c>
      <c r="O10" s="10">
        <v>936651676</v>
      </c>
      <c r="P10" s="4" t="str">
        <f>IFERROR(VLOOKUP(Taula_Alumnes[[#This Row],[DNI/NIE/Passaport]],Questionari!D:O,11,FALSE),"")</f>
        <v>COPA 0 070728 00 9</v>
      </c>
      <c r="Q10" s="30">
        <f>IFERROR(VLOOKUP(Taula_Alumnes[[#This Row],[DNI/NIE/Passaport]],Questionari!D:O,12,FALSE),"-")</f>
        <v>81472194126</v>
      </c>
      <c r="R10" s="5" t="s">
        <v>181</v>
      </c>
      <c r="S10" s="5" t="str">
        <f>IFERROR(VLOOKUP(Taula_Alumnes[[#This Row],[DNI/NIE/Passaport]],Questionari!D:O,5,FALSE),"")</f>
        <v>Av 300 n83</v>
      </c>
      <c r="T10" s="5" t="str">
        <f>IFERROR(VLOOKUP(Taula_Alumnes[[#This Row],[DNI/NIE/Passaport]],Questionari!D:O,6,FALSE),"")</f>
        <v>Castelldefels</v>
      </c>
      <c r="U10" s="20">
        <f>IFERROR(VLOOKUP(Taula_Alumnes[[#This Row],[DNI/NIE/Passaport]],Questionari!D:O,7,FALSE),"")</f>
        <v>8860</v>
      </c>
      <c r="W10" s="22" t="s">
        <v>2</v>
      </c>
      <c r="X10" s="4" t="s">
        <v>0</v>
      </c>
      <c r="Y10" s="4" t="s">
        <v>20</v>
      </c>
      <c r="Z10" s="4"/>
      <c r="AA10" s="4"/>
      <c r="AB10" s="4"/>
      <c r="AC10" s="4"/>
      <c r="AD10" s="38"/>
      <c r="AE10" s="38"/>
      <c r="AF10" s="6"/>
      <c r="AG10" s="5"/>
      <c r="AH10" s="4"/>
      <c r="AJ10" s="4"/>
    </row>
    <row r="11" spans="1:36" ht="13.5" hidden="1" customHeight="1" x14ac:dyDescent="0.35">
      <c r="A11" s="4">
        <v>11</v>
      </c>
      <c r="B11" s="32" t="str">
        <f>HYPERLINK(_xlfn.CONCAT("D:\La meva unitat\FCT\Promoció 2025-27\Alumnes\",Taula_Alumnes[[#This Row],[Nom sencer]],"\CV_",Taula_Alumnes[[#This Row],[Nom sencer]],".pdf"),"CV")</f>
        <v>CV</v>
      </c>
      <c r="C11" s="5" t="s">
        <v>96</v>
      </c>
      <c r="D11" s="5" t="s">
        <v>97</v>
      </c>
      <c r="E11" s="5" t="str">
        <f>_xlfn.CONCAT(TRIM(Taula_Alumnes[[#This Row],[Cognoms]]), ", ", TRIM(Taula_Alumnes[[#This Row],[Nom]]))</f>
        <v>Dublanche, Alexis Stéphane Fran</v>
      </c>
      <c r="F11" s="4">
        <f>COUNTIF(Seguiment!F:F,Taula_Alumnes[[#This Row],[Nom sencer]])</f>
        <v>1</v>
      </c>
      <c r="G11" s="4">
        <f>COUNTIF(Seguiment!G:G,Taula_Alumnes[[#This Row],[Nom sencer]])++COUNTIF(Seguiment!H:H,Taula_Alumnes[[#This Row],[Nom sencer]])</f>
        <v>1</v>
      </c>
      <c r="H11" s="4" t="str">
        <f>IF(Taula_Alumnes[[#This Row],[Env]]=Taula_Alumnes[[#This Row],[Reb/NT]],IF(Taula_Alumnes[[#This Row],[Ok]]="Pendent","Sí","No"),"No")</f>
        <v>Sí</v>
      </c>
      <c r="I11" s="4" t="str">
        <f>IF(Taula_Alumnes[[#This Row],[Tipus]]=Taula_Alumnes[[#This Row],[Estat]],"Assignat",IF(Taula_Alumnes[[#This Row],[Estat]]="Pràctiques finalitzades","Finalitzades","Pendent"))</f>
        <v>Pendent</v>
      </c>
      <c r="J11" s="4"/>
      <c r="K11" s="4" t="s">
        <v>155</v>
      </c>
      <c r="L11" s="9">
        <v>39014</v>
      </c>
      <c r="M11" s="6" t="str">
        <f ca="1">_xlfn.CONCAT(TEXT(_xlfn.DAYS(TODAY(),Taula_Alumnes[[#This Row],[Data Naixement]])/365,"##")," anys")</f>
        <v>20 anys</v>
      </c>
      <c r="N11" s="10">
        <v>663082944</v>
      </c>
      <c r="O11" s="10">
        <v>695456973</v>
      </c>
      <c r="P11" s="4" t="str">
        <f>IFERROR(VLOOKUP(Taula_Alumnes[[#This Row],[DNI/NIE/Passaport]],Questionari!D:O,11,FALSE),"")</f>
        <v>DUBL 0 061024 00 9</v>
      </c>
      <c r="Q11" s="30">
        <f>IFERROR(VLOOKUP(Taula_Alumnes[[#This Row],[DNI/NIE/Passaport]],Questionari!D:O,12,FALSE),"-")</f>
        <v>81513502685</v>
      </c>
      <c r="R11" s="5" t="s">
        <v>182</v>
      </c>
      <c r="S11" s="5" t="str">
        <f>IFERROR(VLOOKUP(Taula_Alumnes[[#This Row],[DNI/NIE/Passaport]],Questionari!D:O,5,FALSE),"")</f>
        <v>Carrer del Dipòsit, 6</v>
      </c>
      <c r="T11" s="5" t="str">
        <f>IFERROR(VLOOKUP(Taula_Alumnes[[#This Row],[DNI/NIE/Passaport]],Questionari!D:O,6,FALSE),"")</f>
        <v>Sant Cugat del Vallès</v>
      </c>
      <c r="U11" s="20">
        <f>IFERROR(VLOOKUP(Taula_Alumnes[[#This Row],[DNI/NIE/Passaport]],Questionari!D:O,7,FALSE),"")</f>
        <v>8198</v>
      </c>
      <c r="W11" s="22" t="s">
        <v>1</v>
      </c>
      <c r="X11" s="4" t="s">
        <v>0</v>
      </c>
      <c r="Y11" s="4" t="s">
        <v>20</v>
      </c>
      <c r="Z11" s="4"/>
      <c r="AA11" s="4"/>
      <c r="AB11" s="4"/>
      <c r="AC11" s="4"/>
      <c r="AD11" s="38"/>
      <c r="AE11" s="38"/>
      <c r="AF11" s="6"/>
      <c r="AG11" s="5"/>
      <c r="AH11" s="4"/>
      <c r="AJ11" s="4"/>
    </row>
    <row r="12" spans="1:36" ht="13.5" hidden="1" customHeight="1" x14ac:dyDescent="0.35">
      <c r="A12" s="4">
        <v>13</v>
      </c>
      <c r="B12" s="32" t="str">
        <f>HYPERLINK(_xlfn.CONCAT("D:\La meva unitat\FCT\Promoció 2025-27\Alumnes\",Taula_Alumnes[[#This Row],[Nom sencer]],"\CV_",Taula_Alumnes[[#This Row],[Nom sencer]],".pdf"),"CV")</f>
        <v>CV</v>
      </c>
      <c r="C12" s="5" t="s">
        <v>99</v>
      </c>
      <c r="D12" s="5" t="s">
        <v>100</v>
      </c>
      <c r="E12" s="5" t="str">
        <f>_xlfn.CONCAT(TRIM(Taula_Alumnes[[#This Row],[Cognoms]]), ", ", TRIM(Taula_Alumnes[[#This Row],[Nom]]))</f>
        <v>Espejo Martínez, Ivan</v>
      </c>
      <c r="F12" s="4">
        <f>COUNTIF(Seguiment!F:F,Taula_Alumnes[[#This Row],[Nom sencer]])</f>
        <v>1</v>
      </c>
      <c r="G12" s="4">
        <f>COUNTIF(Seguiment!G:G,Taula_Alumnes[[#This Row],[Nom sencer]])++COUNTIF(Seguiment!H:H,Taula_Alumnes[[#This Row],[Nom sencer]])</f>
        <v>0</v>
      </c>
      <c r="H12" s="4" t="str">
        <f>IF(Taula_Alumnes[[#This Row],[Env]]=Taula_Alumnes[[#This Row],[Reb/NT]],IF(Taula_Alumnes[[#This Row],[Ok]]="Pendent","Sí","No"),"No")</f>
        <v>No</v>
      </c>
      <c r="I12" s="4" t="str">
        <f>IF(Taula_Alumnes[[#This Row],[Tipus]]=Taula_Alumnes[[#This Row],[Estat]],"Assignat",IF(Taula_Alumnes[[#This Row],[Estat]]="Pràctiques finalitzades","Finalitzades","Pendent"))</f>
        <v>Assignat</v>
      </c>
      <c r="J12" s="4"/>
      <c r="K12" s="4" t="s">
        <v>156</v>
      </c>
      <c r="L12" s="9">
        <v>38734</v>
      </c>
      <c r="M12" s="6" t="str">
        <f ca="1">_xlfn.CONCAT(TEXT(_xlfn.DAYS(TODAY(),Taula_Alumnes[[#This Row],[Data Naixement]])/365,"##")," anys")</f>
        <v>20 anys</v>
      </c>
      <c r="N12" s="10">
        <v>679330382</v>
      </c>
      <c r="O12" s="10">
        <v>933360808</v>
      </c>
      <c r="P12" s="4" t="str">
        <f>IFERROR(VLOOKUP(Taula_Alumnes[[#This Row],[DNI/NIE/Passaport]],Questionari!D:O,11,FALSE),"")</f>
        <v>ESMA 0 060117 00 9</v>
      </c>
      <c r="Q12" s="30">
        <f>IFERROR(VLOOKUP(Taula_Alumnes[[#This Row],[DNI/NIE/Passaport]],Questionari!D:O,12,FALSE),"-")</f>
        <v>81472210391</v>
      </c>
      <c r="R12" s="5" t="s">
        <v>183</v>
      </c>
      <c r="S12" s="5" t="str">
        <f>IFERROR(VLOOKUP(Taula_Alumnes[[#This Row],[DNI/NIE/Passaport]],Questionari!D:O,5,FALSE),"")</f>
        <v>Carrer Igualtat 51-53 1rA Esc.Izq</v>
      </c>
      <c r="T12" s="5" t="str">
        <f>IFERROR(VLOOKUP(Taula_Alumnes[[#This Row],[DNI/NIE/Passaport]],Questionari!D:O,6,FALSE),"")</f>
        <v>L'Hospitalet de Llobregat</v>
      </c>
      <c r="U12" s="20">
        <f>IFERROR(VLOOKUP(Taula_Alumnes[[#This Row],[DNI/NIE/Passaport]],Questionari!D:O,7,FALSE),"")</f>
        <v>8902</v>
      </c>
      <c r="W12" s="22" t="s">
        <v>1</v>
      </c>
      <c r="X12" s="4" t="s">
        <v>1</v>
      </c>
      <c r="Y12" s="4" t="s">
        <v>367</v>
      </c>
      <c r="Z12" s="4" t="s">
        <v>432</v>
      </c>
      <c r="AA12" s="4">
        <v>637205861</v>
      </c>
      <c r="AB12" s="32" t="s">
        <v>433</v>
      </c>
      <c r="AC12" s="4" t="s">
        <v>434</v>
      </c>
      <c r="AD12" s="38">
        <v>46119</v>
      </c>
      <c r="AE12" s="38">
        <v>46437</v>
      </c>
      <c r="AF12" s="6">
        <v>1014</v>
      </c>
      <c r="AG12" s="5"/>
      <c r="AH12" s="4"/>
      <c r="AJ12" s="4"/>
    </row>
    <row r="13" spans="1:36" ht="13.5" hidden="1" customHeight="1" x14ac:dyDescent="0.35">
      <c r="A13" s="4">
        <v>14</v>
      </c>
      <c r="B13" s="32" t="str">
        <f>HYPERLINK(_xlfn.CONCAT("D:\La meva unitat\FCT\Promoció 2025-27\Alumnes\",Taula_Alumnes[[#This Row],[Nom sencer]],"\CV_",Taula_Alumnes[[#This Row],[Nom sencer]],".pdf"),"CV")</f>
        <v>CV</v>
      </c>
      <c r="C13" s="5" t="s">
        <v>102</v>
      </c>
      <c r="D13" s="5" t="s">
        <v>18</v>
      </c>
      <c r="E13" s="5" t="str">
        <f>_xlfn.CONCAT(TRIM(Taula_Alumnes[[#This Row],[Cognoms]]), ", ", TRIM(Taula_Alumnes[[#This Row],[Nom]]))</f>
        <v>Farré Marín, Joan</v>
      </c>
      <c r="F13" s="4">
        <f>COUNTIF(Seguiment!F:F,Taula_Alumnes[[#This Row],[Nom sencer]])</f>
        <v>0</v>
      </c>
      <c r="G13" s="4">
        <f>COUNTIF(Seguiment!G:G,Taula_Alumnes[[#This Row],[Nom sencer]])++COUNTIF(Seguiment!H:H,Taula_Alumnes[[#This Row],[Nom sencer]])</f>
        <v>0</v>
      </c>
      <c r="H13" s="4" t="str">
        <f>IF(Taula_Alumnes[[#This Row],[Env]]=Taula_Alumnes[[#This Row],[Reb/NT]],IF(Taula_Alumnes[[#This Row],[Ok]]="Pendent","Sí","No"),"No")</f>
        <v>Sí</v>
      </c>
      <c r="I13" s="4" t="str">
        <f>IF(Taula_Alumnes[[#This Row],[Tipus]]=Taula_Alumnes[[#This Row],[Estat]],"Assignat",IF(Taula_Alumnes[[#This Row],[Estat]]="Pràctiques finalitzades","Finalitzades","Pendent"))</f>
        <v>Pendent</v>
      </c>
      <c r="J13" s="4"/>
      <c r="K13" s="4" t="s">
        <v>157</v>
      </c>
      <c r="L13" s="9">
        <v>38782</v>
      </c>
      <c r="M13" s="6" t="str">
        <f ca="1">_xlfn.CONCAT(TEXT(_xlfn.DAYS(TODAY(),Taula_Alumnes[[#This Row],[Data Naixement]])/365,"##")," anys")</f>
        <v>20 anys</v>
      </c>
      <c r="N13" s="10">
        <v>673319530</v>
      </c>
      <c r="O13" s="10"/>
      <c r="P13" s="4" t="str">
        <f>IFERROR(VLOOKUP(Taula_Alumnes[[#This Row],[DNI/NIE/Passaport]],Questionari!D:O,11,FALSE),"")</f>
        <v>FAMA 0 060306 00 2</v>
      </c>
      <c r="Q13" s="30">
        <f>IFERROR(VLOOKUP(Taula_Alumnes[[#This Row],[DNI/NIE/Passaport]],Questionari!D:O,12,FALSE),"-")</f>
        <v>81499953910</v>
      </c>
      <c r="R13" s="5" t="s">
        <v>184</v>
      </c>
      <c r="S13" s="5" t="str">
        <f>IFERROR(VLOOKUP(Taula_Alumnes[[#This Row],[DNI/NIE/Passaport]],Questionari!D:O,5,FALSE),"")</f>
        <v>C: Ma Aurelia Capmany 18, 1-1</v>
      </c>
      <c r="T13" s="5" t="str">
        <f>IFERROR(VLOOKUP(Taula_Alumnes[[#This Row],[DNI/NIE/Passaport]],Questionari!D:O,6,FALSE),"")</f>
        <v>Cornella De Llobregat</v>
      </c>
      <c r="U13" s="20">
        <f>IFERROR(VLOOKUP(Taula_Alumnes[[#This Row],[DNI/NIE/Passaport]],Questionari!D:O,7,FALSE),"")</f>
        <v>8940</v>
      </c>
      <c r="W13" s="22" t="s">
        <v>1</v>
      </c>
      <c r="X13" s="4" t="s">
        <v>0</v>
      </c>
      <c r="Y13" s="4" t="s">
        <v>20</v>
      </c>
      <c r="Z13" s="4"/>
      <c r="AA13" s="4"/>
      <c r="AB13" s="4"/>
      <c r="AC13" s="4"/>
      <c r="AD13" s="38"/>
      <c r="AE13" s="38"/>
      <c r="AF13" s="6"/>
      <c r="AG13" s="5"/>
      <c r="AH13" s="4"/>
      <c r="AJ13" s="4"/>
    </row>
    <row r="14" spans="1:36" ht="13.5" hidden="1" customHeight="1" x14ac:dyDescent="0.35">
      <c r="A14" s="4">
        <v>15</v>
      </c>
      <c r="B14" s="32" t="str">
        <f>HYPERLINK(_xlfn.CONCAT("D:\La meva unitat\FCT\Promoció 2025-27\Alumnes\",Taula_Alumnes[[#This Row],[Nom sencer]],"\CV_",Taula_Alumnes[[#This Row],[Nom sencer]],".pdf"),"CV")</f>
        <v>CV</v>
      </c>
      <c r="C14" s="5" t="s">
        <v>104</v>
      </c>
      <c r="D14" s="5" t="s">
        <v>105</v>
      </c>
      <c r="E14" s="5" t="str">
        <f>_xlfn.CONCAT(TRIM(Taula_Alumnes[[#This Row],[Cognoms]]), ", ", TRIM(Taula_Alumnes[[#This Row],[Nom]]))</f>
        <v>Fernandes Teixeira, Sebastian Samuel</v>
      </c>
      <c r="F14" s="4">
        <f>COUNTIF(Seguiment!F:F,Taula_Alumnes[[#This Row],[Nom sencer]])</f>
        <v>3</v>
      </c>
      <c r="G14" s="4">
        <f>COUNTIF(Seguiment!G:G,Taula_Alumnes[[#This Row],[Nom sencer]])++COUNTIF(Seguiment!H:H,Taula_Alumnes[[#This Row],[Nom sencer]])</f>
        <v>2</v>
      </c>
      <c r="H14" s="4" t="str">
        <f>IF(Taula_Alumnes[[#This Row],[Env]]=Taula_Alumnes[[#This Row],[Reb/NT]],IF(Taula_Alumnes[[#This Row],[Ok]]="Pendent","Sí","No"),"No")</f>
        <v>No</v>
      </c>
      <c r="I14" s="4" t="str">
        <f>IF(Taula_Alumnes[[#This Row],[Tipus]]=Taula_Alumnes[[#This Row],[Estat]],"Assignat",IF(Taula_Alumnes[[#This Row],[Estat]]="Pràctiques finalitzades","Finalitzades","Pendent"))</f>
        <v>Assignat</v>
      </c>
      <c r="J14" s="4"/>
      <c r="K14" s="4" t="s">
        <v>158</v>
      </c>
      <c r="L14" s="9">
        <v>38468</v>
      </c>
      <c r="M14" s="6" t="str">
        <f ca="1">_xlfn.CONCAT(TEXT(_xlfn.DAYS(TODAY(),Taula_Alumnes[[#This Row],[Data Naixement]])/365,"##")," anys")</f>
        <v>21 anys</v>
      </c>
      <c r="N14" s="10">
        <v>662933188</v>
      </c>
      <c r="O14" s="10">
        <v>698309619</v>
      </c>
      <c r="P14" s="4" t="str">
        <f>IFERROR(VLOOKUP(Taula_Alumnes[[#This Row],[DNI/NIE/Passaport]],Questionari!D:O,11,FALSE),"")</f>
        <v>FETE 0 050426 00 4</v>
      </c>
      <c r="Q14" s="30">
        <f>IFERROR(VLOOKUP(Taula_Alumnes[[#This Row],[DNI/NIE/Passaport]],Questionari!D:O,12,FALSE),"-")</f>
        <v>81357068563</v>
      </c>
      <c r="R14" s="5" t="s">
        <v>185</v>
      </c>
      <c r="S14" s="5" t="str">
        <f>IFERROR(VLOOKUP(Taula_Alumnes[[#This Row],[DNI/NIE/Passaport]],Questionari!D:O,5,FALSE),"")</f>
        <v>Avinguda del Puig de Rimila 10</v>
      </c>
      <c r="T14" s="5" t="str">
        <f>IFERROR(VLOOKUP(Taula_Alumnes[[#This Row],[DNI/NIE/Passaport]],Questionari!D:O,6,FALSE),"")</f>
        <v>Sant Cugat del Vallès</v>
      </c>
      <c r="U14" s="20">
        <f>IFERROR(VLOOKUP(Taula_Alumnes[[#This Row],[DNI/NIE/Passaport]],Questionari!D:O,7,FALSE),"")</f>
        <v>8173</v>
      </c>
      <c r="W14" s="22" t="s">
        <v>1</v>
      </c>
      <c r="X14" s="4" t="s">
        <v>1</v>
      </c>
      <c r="Y14" s="4" t="s">
        <v>394</v>
      </c>
      <c r="Z14" s="4" t="s">
        <v>483</v>
      </c>
      <c r="AA14" s="4">
        <v>934226655</v>
      </c>
      <c r="AB14" s="32" t="s">
        <v>484</v>
      </c>
      <c r="AC14" s="4" t="s">
        <v>485</v>
      </c>
      <c r="AD14" s="38">
        <v>46147</v>
      </c>
      <c r="AE14" s="38">
        <v>46535</v>
      </c>
      <c r="AF14" s="6">
        <v>980</v>
      </c>
      <c r="AG14" s="5"/>
      <c r="AH14" s="4"/>
      <c r="AJ14" s="4"/>
    </row>
    <row r="15" spans="1:36" ht="13.5" hidden="1" customHeight="1" x14ac:dyDescent="0.35">
      <c r="A15" s="4">
        <v>16</v>
      </c>
      <c r="B15" s="32" t="str">
        <f>HYPERLINK(_xlfn.CONCAT("D:\La meva unitat\FCT\Promoció 2025-27\Alumnes\",Taula_Alumnes[[#This Row],[Nom sencer]],"\CV_",Taula_Alumnes[[#This Row],[Nom sencer]],".pdf"),"CV")</f>
        <v>CV</v>
      </c>
      <c r="C15" s="5" t="s">
        <v>107</v>
      </c>
      <c r="D15" s="5" t="s">
        <v>15</v>
      </c>
      <c r="E15" s="5" t="str">
        <f>_xlfn.CONCAT(TRIM(Taula_Alumnes[[#This Row],[Cognoms]]), ", ", TRIM(Taula_Alumnes[[#This Row],[Nom]]))</f>
        <v>Gallego Pérez, Dídac</v>
      </c>
      <c r="F15" s="4">
        <f>COUNTIF(Seguiment!F:F,Taula_Alumnes[[#This Row],[Nom sencer]])</f>
        <v>0</v>
      </c>
      <c r="G15" s="4">
        <f>COUNTIF(Seguiment!G:G,Taula_Alumnes[[#This Row],[Nom sencer]])++COUNTIF(Seguiment!H:H,Taula_Alumnes[[#This Row],[Nom sencer]])</f>
        <v>0</v>
      </c>
      <c r="H15" s="4" t="str">
        <f>IF(Taula_Alumnes[[#This Row],[Env]]=Taula_Alumnes[[#This Row],[Reb/NT]],IF(Taula_Alumnes[[#This Row],[Ok]]="Pendent","Sí","No"),"No")</f>
        <v>Sí</v>
      </c>
      <c r="I15" s="4" t="str">
        <f>IF(Taula_Alumnes[[#This Row],[Tipus]]=Taula_Alumnes[[#This Row],[Estat]],"Assignat",IF(Taula_Alumnes[[#This Row],[Estat]]="Pràctiques finalitzades","Finalitzades","Pendent"))</f>
        <v>Pendent</v>
      </c>
      <c r="J15" s="4" t="s">
        <v>475</v>
      </c>
      <c r="K15" s="4" t="s">
        <v>159</v>
      </c>
      <c r="L15" s="9">
        <v>38840</v>
      </c>
      <c r="M15" s="6" t="str">
        <f ca="1">_xlfn.CONCAT(TEXT(_xlfn.DAYS(TODAY(),Taula_Alumnes[[#This Row],[Data Naixement]])/365,"##")," anys")</f>
        <v>20 anys</v>
      </c>
      <c r="N15" s="10">
        <v>651854058</v>
      </c>
      <c r="O15" s="10">
        <v>622543517</v>
      </c>
      <c r="P15" s="4" t="str">
        <f>IFERROR(VLOOKUP(Taula_Alumnes[[#This Row],[DNI/NIE/Passaport]],Questionari!D:O,11,FALSE),"")</f>
        <v/>
      </c>
      <c r="Q15" s="30" t="str">
        <f>IFERROR(VLOOKUP(Taula_Alumnes[[#This Row],[DNI/NIE/Passaport]],Questionari!D:O,12,FALSE),"-")</f>
        <v>-</v>
      </c>
      <c r="R15" s="5" t="s">
        <v>186</v>
      </c>
      <c r="S15" s="5" t="str">
        <f>IFERROR(VLOOKUP(Taula_Alumnes[[#This Row],[DNI/NIE/Passaport]],Questionari!D:O,5,FALSE),"")</f>
        <v/>
      </c>
      <c r="T15" s="5" t="str">
        <f>IFERROR(VLOOKUP(Taula_Alumnes[[#This Row],[DNI/NIE/Passaport]],Questionari!D:O,6,FALSE),"")</f>
        <v/>
      </c>
      <c r="U15" s="20" t="str">
        <f>IFERROR(VLOOKUP(Taula_Alumnes[[#This Row],[DNI/NIE/Passaport]],Questionari!D:O,7,FALSE),"")</f>
        <v/>
      </c>
      <c r="W15" s="22" t="s">
        <v>1</v>
      </c>
      <c r="X15" s="4" t="s">
        <v>0</v>
      </c>
      <c r="Y15" s="4" t="s">
        <v>20</v>
      </c>
      <c r="Z15" s="4"/>
      <c r="AA15" s="4"/>
      <c r="AB15" s="4"/>
      <c r="AC15" s="4"/>
      <c r="AD15" s="38"/>
      <c r="AE15" s="38"/>
      <c r="AF15" s="6"/>
      <c r="AG15" s="5"/>
      <c r="AH15" s="4"/>
      <c r="AJ15" s="4"/>
    </row>
    <row r="16" spans="1:36" ht="13.5" hidden="1" customHeight="1" x14ac:dyDescent="0.35">
      <c r="A16" s="4">
        <v>17</v>
      </c>
      <c r="B16" s="32" t="str">
        <f>HYPERLINK(_xlfn.CONCAT("D:\La meva unitat\FCT\Promoció 2025-27\Alumnes\",Taula_Alumnes[[#This Row],[Nom sencer]],"\CV_",Taula_Alumnes[[#This Row],[Nom sencer]],".pdf"),"CV")</f>
        <v>CV</v>
      </c>
      <c r="C16" s="5" t="s">
        <v>109</v>
      </c>
      <c r="D16" s="5" t="s">
        <v>110</v>
      </c>
      <c r="E16" s="5" t="str">
        <f>_xlfn.CONCAT(TRIM(Taula_Alumnes[[#This Row],[Cognoms]]), ", ", TRIM(Taula_Alumnes[[#This Row],[Nom]]))</f>
        <v>Guerra Alberti, Edgar</v>
      </c>
      <c r="F16" s="4">
        <f>COUNTIF(Seguiment!F:F,Taula_Alumnes[[#This Row],[Nom sencer]])</f>
        <v>0</v>
      </c>
      <c r="G16" s="4">
        <f>COUNTIF(Seguiment!G:G,Taula_Alumnes[[#This Row],[Nom sencer]])++COUNTIF(Seguiment!H:H,Taula_Alumnes[[#This Row],[Nom sencer]])</f>
        <v>0</v>
      </c>
      <c r="H16" s="4" t="str">
        <f>IF(Taula_Alumnes[[#This Row],[Env]]=Taula_Alumnes[[#This Row],[Reb/NT]],IF(Taula_Alumnes[[#This Row],[Ok]]="Pendent","Sí","No"),"No")</f>
        <v>Sí</v>
      </c>
      <c r="I16" s="4" t="str">
        <f>IF(Taula_Alumnes[[#This Row],[Tipus]]=Taula_Alumnes[[#This Row],[Estat]],"Assignat",IF(Taula_Alumnes[[#This Row],[Estat]]="Pràctiques finalitzades","Finalitzades","Pendent"))</f>
        <v>Pendent</v>
      </c>
      <c r="J16" s="4" t="s">
        <v>464</v>
      </c>
      <c r="K16" s="4" t="s">
        <v>160</v>
      </c>
      <c r="L16" s="9">
        <v>34367</v>
      </c>
      <c r="M16" s="6" t="str">
        <f ca="1">_xlfn.CONCAT(TEXT(_xlfn.DAYS(TODAY(),Taula_Alumnes[[#This Row],[Data Naixement]])/365,"##")," anys")</f>
        <v>32 anys</v>
      </c>
      <c r="N16" s="10">
        <v>691138993</v>
      </c>
      <c r="O16" s="10"/>
      <c r="P16" s="4" t="str">
        <f>IFERROR(VLOOKUP(Taula_Alumnes[[#This Row],[DNI/NIE/Passaport]],Questionari!D:O,11,FALSE),"")</f>
        <v>GUAL 0 940202 00 2</v>
      </c>
      <c r="Q16" s="30">
        <f>IFERROR(VLOOKUP(Taula_Alumnes[[#This Row],[DNI/NIE/Passaport]],Questionari!D:O,12,FALSE),"-")</f>
        <v>81217190826</v>
      </c>
      <c r="R16" s="5" t="s">
        <v>187</v>
      </c>
      <c r="S16" s="5" t="str">
        <f>IFERROR(VLOOKUP(Taula_Alumnes[[#This Row],[DNI/NIE/Passaport]],Questionari!D:O,5,FALSE),"")</f>
        <v>Rambla Badal 36, 5-2, Escalera B</v>
      </c>
      <c r="T16" s="5" t="str">
        <f>IFERROR(VLOOKUP(Taula_Alumnes[[#This Row],[DNI/NIE/Passaport]],Questionari!D:O,6,FALSE),"")</f>
        <v>Barcelona</v>
      </c>
      <c r="U16" s="20">
        <f>IFERROR(VLOOKUP(Taula_Alumnes[[#This Row],[DNI/NIE/Passaport]],Questionari!D:O,7,FALSE),"")</f>
        <v>8014</v>
      </c>
      <c r="W16" s="22" t="s">
        <v>1</v>
      </c>
      <c r="X16" s="4" t="s">
        <v>0</v>
      </c>
      <c r="Y16" s="4" t="s">
        <v>20</v>
      </c>
      <c r="Z16" s="4"/>
      <c r="AA16" s="4"/>
      <c r="AB16" s="4"/>
      <c r="AC16" s="4"/>
      <c r="AD16" s="38"/>
      <c r="AE16" s="38"/>
      <c r="AF16" s="6"/>
      <c r="AG16" s="5"/>
      <c r="AH16" s="4"/>
      <c r="AJ16" s="4"/>
    </row>
    <row r="17" spans="1:36" ht="13.5" customHeight="1" x14ac:dyDescent="0.35">
      <c r="A17" s="4">
        <v>18</v>
      </c>
      <c r="B17" s="32" t="str">
        <f>HYPERLINK(_xlfn.CONCAT("D:\La meva unitat\FCT\Promoció 2025-27\Alumnes\",Taula_Alumnes[[#This Row],[Nom sencer]],"\CV_",Taula_Alumnes[[#This Row],[Nom sencer]],".pdf"),"CV")</f>
        <v>CV</v>
      </c>
      <c r="C17" s="5" t="s">
        <v>112</v>
      </c>
      <c r="D17" s="5" t="s">
        <v>81</v>
      </c>
      <c r="E17" s="5" t="str">
        <f>_xlfn.CONCAT(TRIM(Taula_Alumnes[[#This Row],[Cognoms]]), ", ", TRIM(Taula_Alumnes[[#This Row],[Nom]]))</f>
        <v>Guillamon Uzñate, Arnau</v>
      </c>
      <c r="F17" s="4">
        <f>COUNTIF(Seguiment!F:F,Taula_Alumnes[[#This Row],[Nom sencer]])</f>
        <v>4</v>
      </c>
      <c r="G17" s="4">
        <f>COUNTIF(Seguiment!G:G,Taula_Alumnes[[#This Row],[Nom sencer]])++COUNTIF(Seguiment!H:H,Taula_Alumnes[[#This Row],[Nom sencer]])</f>
        <v>1</v>
      </c>
      <c r="H17" s="4" t="str">
        <f>IF(Taula_Alumnes[[#This Row],[Env]]=Taula_Alumnes[[#This Row],[Reb/NT]],IF(Taula_Alumnes[[#This Row],[Ok]]="Pendent","Sí","No"),"No")</f>
        <v>No</v>
      </c>
      <c r="I17" s="4" t="str">
        <f>IF(Taula_Alumnes[[#This Row],[Tipus]]=Taula_Alumnes[[#This Row],[Estat]],"Assignat",IF(Taula_Alumnes[[#This Row],[Estat]]="Pràctiques finalitzades","Finalitzades","Pendent"))</f>
        <v>Pendent</v>
      </c>
      <c r="J17" s="4"/>
      <c r="K17" s="4" t="s">
        <v>161</v>
      </c>
      <c r="L17" s="9">
        <v>39063</v>
      </c>
      <c r="M17" s="6" t="str">
        <f ca="1">_xlfn.CONCAT(TEXT(_xlfn.DAYS(TODAY(),Taula_Alumnes[[#This Row],[Data Naixement]])/365,"##")," anys")</f>
        <v>19 anys</v>
      </c>
      <c r="N17" s="10">
        <v>645922414</v>
      </c>
      <c r="O17" s="10">
        <v>934742414</v>
      </c>
      <c r="P17" s="4" t="str">
        <f>IFERROR(VLOOKUP(Taula_Alumnes[[#This Row],[DNI/NIE/Passaport]],Questionari!D:O,11,FALSE),"")</f>
        <v>GUUZ 0 061212 00 3</v>
      </c>
      <c r="Q17" s="30">
        <f>IFERROR(VLOOKUP(Taula_Alumnes[[#This Row],[DNI/NIE/Passaport]],Questionari!D:O,12,FALSE),"-")</f>
        <v>81377464734</v>
      </c>
      <c r="R17" s="5" t="s">
        <v>188</v>
      </c>
      <c r="S17" s="5" t="str">
        <f>IFERROR(VLOOKUP(Taula_Alumnes[[#This Row],[DNI/NIE/Passaport]],Questionari!D:O,5,FALSE),"")</f>
        <v>Joana Raspall 11</v>
      </c>
      <c r="T17" s="5" t="str">
        <f>IFERROR(VLOOKUP(Taula_Alumnes[[#This Row],[DNI/NIE/Passaport]],Questionari!D:O,6,FALSE),"")</f>
        <v>Sant Feliu de Llobregat</v>
      </c>
      <c r="U17" s="20">
        <f>IFERROR(VLOOKUP(Taula_Alumnes[[#This Row],[DNI/NIE/Passaport]],Questionari!D:O,7,FALSE),"")</f>
        <v>8980</v>
      </c>
      <c r="W17" s="22" t="s">
        <v>2</v>
      </c>
      <c r="X17" s="4" t="s">
        <v>54</v>
      </c>
      <c r="Y17" s="4" t="s">
        <v>443</v>
      </c>
      <c r="Z17" s="4"/>
      <c r="AA17" s="4"/>
      <c r="AB17" s="4"/>
      <c r="AC17" s="4"/>
      <c r="AD17" s="38"/>
      <c r="AE17" s="38"/>
      <c r="AF17" s="6"/>
      <c r="AG17" s="5"/>
      <c r="AH17" s="4"/>
      <c r="AJ17" s="4"/>
    </row>
    <row r="18" spans="1:36" ht="13.5" hidden="1" customHeight="1" x14ac:dyDescent="0.35">
      <c r="A18" s="4">
        <v>19</v>
      </c>
      <c r="B18" s="32" t="str">
        <f>HYPERLINK(_xlfn.CONCAT("D:\La meva unitat\FCT\Promoció 2025-27\Alumnes\",Taula_Alumnes[[#This Row],[Nom sencer]],"\CV_",Taula_Alumnes[[#This Row],[Nom sencer]],".pdf"),"CV")</f>
        <v>CV</v>
      </c>
      <c r="C18" s="5" t="s">
        <v>114</v>
      </c>
      <c r="D18" s="5" t="s">
        <v>115</v>
      </c>
      <c r="E18" s="5" t="str">
        <f>_xlfn.CONCAT(TRIM(Taula_Alumnes[[#This Row],[Cognoms]]), ", ", TRIM(Taula_Alumnes[[#This Row],[Nom]]))</f>
        <v>Jurado Borrell, Hugo</v>
      </c>
      <c r="F18" s="4">
        <f>COUNTIF(Seguiment!F:F,Taula_Alumnes[[#This Row],[Nom sencer]])</f>
        <v>2</v>
      </c>
      <c r="G18" s="4">
        <f>COUNTIF(Seguiment!G:G,Taula_Alumnes[[#This Row],[Nom sencer]])++COUNTIF(Seguiment!H:H,Taula_Alumnes[[#This Row],[Nom sencer]])</f>
        <v>2</v>
      </c>
      <c r="H18" s="4" t="str">
        <f>IF(Taula_Alumnes[[#This Row],[Env]]=Taula_Alumnes[[#This Row],[Reb/NT]],IF(Taula_Alumnes[[#This Row],[Ok]]="Pendent","Sí","No"),"No")</f>
        <v>Sí</v>
      </c>
      <c r="I18" s="4" t="str">
        <f>IF(Taula_Alumnes[[#This Row],[Tipus]]=Taula_Alumnes[[#This Row],[Estat]],"Assignat",IF(Taula_Alumnes[[#This Row],[Estat]]="Pràctiques finalitzades","Finalitzades","Pendent"))</f>
        <v>Pendent</v>
      </c>
      <c r="J18" s="4"/>
      <c r="K18" s="4" t="s">
        <v>162</v>
      </c>
      <c r="L18" s="9">
        <v>39162</v>
      </c>
      <c r="M18" s="6" t="str">
        <f ca="1">_xlfn.CONCAT(TEXT(_xlfn.DAYS(TODAY(),Taula_Alumnes[[#This Row],[Data Naixement]])/365,"##")," anys")</f>
        <v>19 anys</v>
      </c>
      <c r="N18" s="10">
        <v>639339785</v>
      </c>
      <c r="O18" s="10">
        <v>639339785</v>
      </c>
      <c r="P18" s="4" t="str">
        <f>IFERROR(VLOOKUP(Taula_Alumnes[[#This Row],[DNI/NIE/Passaport]],Questionari!D:O,11,FALSE),"")</f>
        <v>JUBO 0 070321 00 5</v>
      </c>
      <c r="Q18" s="30">
        <f>IFERROR(VLOOKUP(Taula_Alumnes[[#This Row],[DNI/NIE/Passaport]],Questionari!D:O,12,FALSE),"-")</f>
        <v>81378007227</v>
      </c>
      <c r="R18" s="5" t="s">
        <v>189</v>
      </c>
      <c r="S18" s="5" t="str">
        <f>IFERROR(VLOOKUP(Taula_Alumnes[[#This Row],[DNI/NIE/Passaport]],Questionari!D:O,5,FALSE),"")</f>
        <v>Avinguda de Josep Ferrer i Domingo, 4</v>
      </c>
      <c r="T18" s="5" t="str">
        <f>IFERROR(VLOOKUP(Taula_Alumnes[[#This Row],[DNI/NIE/Passaport]],Questionari!D:O,6,FALSE),"")</f>
        <v>Rubí</v>
      </c>
      <c r="U18" s="20">
        <f>IFERROR(VLOOKUP(Taula_Alumnes[[#This Row],[DNI/NIE/Passaport]],Questionari!D:O,7,FALSE),"")</f>
        <v>8191</v>
      </c>
      <c r="W18" s="22" t="s">
        <v>1</v>
      </c>
      <c r="X18" s="4" t="s">
        <v>0</v>
      </c>
      <c r="Y18" s="4" t="s">
        <v>20</v>
      </c>
      <c r="Z18" s="4"/>
      <c r="AA18" s="4"/>
      <c r="AB18" s="4"/>
      <c r="AC18" s="4"/>
      <c r="AD18" s="38"/>
      <c r="AE18" s="38"/>
      <c r="AF18" s="6"/>
      <c r="AG18" s="5"/>
      <c r="AH18" s="4"/>
      <c r="AJ18" s="4"/>
    </row>
    <row r="19" spans="1:36" ht="13.5" hidden="1" customHeight="1" x14ac:dyDescent="0.35">
      <c r="A19" s="4">
        <v>20</v>
      </c>
      <c r="B19" s="32" t="str">
        <f>HYPERLINK(_xlfn.CONCAT("D:\La meva unitat\FCT\Promoció 2025-27\Alumnes\",Taula_Alumnes[[#This Row],[Nom sencer]],"\CV_",Taula_Alumnes[[#This Row],[Nom sencer]],".pdf"),"CV")</f>
        <v>CV</v>
      </c>
      <c r="C19" s="5" t="s">
        <v>117</v>
      </c>
      <c r="D19" s="5" t="s">
        <v>118</v>
      </c>
      <c r="E19" s="5" t="str">
        <f>_xlfn.CONCAT(TRIM(Taula_Alumnes[[#This Row],[Cognoms]]), ", ", TRIM(Taula_Alumnes[[#This Row],[Nom]]))</f>
        <v>Lucas Jerez, Hector</v>
      </c>
      <c r="F19" s="4">
        <f>COUNTIF(Seguiment!F:F,Taula_Alumnes[[#This Row],[Nom sencer]])</f>
        <v>1</v>
      </c>
      <c r="G19" s="4">
        <f>COUNTIF(Seguiment!G:G,Taula_Alumnes[[#This Row],[Nom sencer]])++COUNTIF(Seguiment!H:H,Taula_Alumnes[[#This Row],[Nom sencer]])</f>
        <v>0</v>
      </c>
      <c r="H19" s="4" t="str">
        <f>IF(Taula_Alumnes[[#This Row],[Env]]=Taula_Alumnes[[#This Row],[Reb/NT]],IF(Taula_Alumnes[[#This Row],[Ok]]="Pendent","Sí","No"),"No")</f>
        <v>No</v>
      </c>
      <c r="I19" s="4" t="str">
        <f>IF(Taula_Alumnes[[#This Row],[Tipus]]=Taula_Alumnes[[#This Row],[Estat]],"Assignat",IF(Taula_Alumnes[[#This Row],[Estat]]="Pràctiques finalitzades","Finalitzades","Pendent"))</f>
        <v>Assignat</v>
      </c>
      <c r="J19" s="4"/>
      <c r="K19" s="4" t="s">
        <v>163</v>
      </c>
      <c r="L19" s="9">
        <v>39258</v>
      </c>
      <c r="M19" s="6" t="str">
        <f ca="1">_xlfn.CONCAT(TEXT(_xlfn.DAYS(TODAY(),Taula_Alumnes[[#This Row],[Data Naixement]])/365,"##")," anys")</f>
        <v>19 anys</v>
      </c>
      <c r="N19" s="10">
        <v>607407685</v>
      </c>
      <c r="O19" s="10">
        <v>937759573</v>
      </c>
      <c r="P19" s="4" t="str">
        <f>IFERROR(VLOOKUP(Taula_Alumnes[[#This Row],[DNI/NIE/Passaport]],Questionari!D:O,11,FALSE),"")</f>
        <v>LUJE 0 070625 00 5</v>
      </c>
      <c r="Q19" s="30">
        <f>IFERROR(VLOOKUP(Taula_Alumnes[[#This Row],[DNI/NIE/Passaport]],Questionari!D:O,12,FALSE),"-")</f>
        <v>81472197863</v>
      </c>
      <c r="R19" s="5" t="s">
        <v>190</v>
      </c>
      <c r="S19" s="5" t="str">
        <f>IFERROR(VLOOKUP(Taula_Alumnes[[#This Row],[DNI/NIE/Passaport]],Questionari!D:O,5,FALSE),"")</f>
        <v>Carrer Ullastrell, 38 08630 Abrera, Barcelona</v>
      </c>
      <c r="T19" s="5" t="str">
        <f>IFERROR(VLOOKUP(Taula_Alumnes[[#This Row],[DNI/NIE/Passaport]],Questionari!D:O,6,FALSE),"")</f>
        <v>Abrera</v>
      </c>
      <c r="U19" s="20">
        <f>IFERROR(VLOOKUP(Taula_Alumnes[[#This Row],[DNI/NIE/Passaport]],Questionari!D:O,7,FALSE),"")</f>
        <v>8630</v>
      </c>
      <c r="W19" s="22" t="s">
        <v>2</v>
      </c>
      <c r="X19" s="4" t="s">
        <v>2</v>
      </c>
      <c r="Y19" s="4" t="s">
        <v>424</v>
      </c>
      <c r="Z19" s="4" t="s">
        <v>436</v>
      </c>
      <c r="AA19" s="4">
        <v>934176400</v>
      </c>
      <c r="AB19" s="32" t="s">
        <v>426</v>
      </c>
      <c r="AC19" s="4" t="s">
        <v>437</v>
      </c>
      <c r="AD19" s="38">
        <v>46119</v>
      </c>
      <c r="AE19" s="38">
        <v>46203</v>
      </c>
      <c r="AF19" s="6">
        <v>320</v>
      </c>
      <c r="AG19" s="5" t="s">
        <v>435</v>
      </c>
      <c r="AH19" s="4"/>
      <c r="AJ19" s="4"/>
    </row>
    <row r="20" spans="1:36" ht="13.5" hidden="1" customHeight="1" x14ac:dyDescent="0.35">
      <c r="A20" s="4">
        <v>22</v>
      </c>
      <c r="B20" s="32" t="str">
        <f>HYPERLINK(_xlfn.CONCAT("D:\La meva unitat\FCT\Promoció 2025-27\Alumnes\",Taula_Alumnes[[#This Row],[Nom sencer]],"\CV_",Taula_Alumnes[[#This Row],[Nom sencer]],".pdf"),"CV")</f>
        <v>CV</v>
      </c>
      <c r="C20" s="5" t="s">
        <v>120</v>
      </c>
      <c r="D20" s="5" t="s">
        <v>121</v>
      </c>
      <c r="E20" s="5" t="str">
        <f>_xlfn.CONCAT(TRIM(Taula_Alumnes[[#This Row],[Cognoms]]), ", ", TRIM(Taula_Alumnes[[#This Row],[Nom]]))</f>
        <v>Miller Villalobos, Sheila</v>
      </c>
      <c r="F20" s="4">
        <f>COUNTIF(Seguiment!F:F,Taula_Alumnes[[#This Row],[Nom sencer]])</f>
        <v>4</v>
      </c>
      <c r="G20" s="4">
        <f>COUNTIF(Seguiment!G:G,Taula_Alumnes[[#This Row],[Nom sencer]])++COUNTIF(Seguiment!H:H,Taula_Alumnes[[#This Row],[Nom sencer]])</f>
        <v>3</v>
      </c>
      <c r="H20" s="4" t="str">
        <f>IF(Taula_Alumnes[[#This Row],[Env]]=Taula_Alumnes[[#This Row],[Reb/NT]],IF(Taula_Alumnes[[#This Row],[Ok]]="Pendent","Sí","No"),"No")</f>
        <v>No</v>
      </c>
      <c r="I20" s="4" t="str">
        <f>IF(Taula_Alumnes[[#This Row],[Tipus]]=Taula_Alumnes[[#This Row],[Estat]],"Assignat",IF(Taula_Alumnes[[#This Row],[Estat]]="Pràctiques finalitzades","Finalitzades","Pendent"))</f>
        <v>Assignat</v>
      </c>
      <c r="J20" s="4"/>
      <c r="K20" s="4" t="s">
        <v>164</v>
      </c>
      <c r="L20" s="9">
        <v>39322</v>
      </c>
      <c r="M20" s="6" t="str">
        <f ca="1">_xlfn.CONCAT(TEXT(_xlfn.DAYS(TODAY(),Taula_Alumnes[[#This Row],[Data Naixement]])/365,"##")," anys")</f>
        <v>19 anys</v>
      </c>
      <c r="N20" s="10">
        <v>602464071</v>
      </c>
      <c r="O20" s="10">
        <v>691041967</v>
      </c>
      <c r="P20" s="4" t="str">
        <f>IFERROR(VLOOKUP(Taula_Alumnes[[#This Row],[DNI/NIE/Passaport]],Questionari!D:O,11,FALSE),"")</f>
        <v>MIVI 1 070828 00 6</v>
      </c>
      <c r="Q20" s="30">
        <f>IFERROR(VLOOKUP(Taula_Alumnes[[#This Row],[DNI/NIE/Passaport]],Questionari!D:O,12,FALSE),"-")</f>
        <v>81516553236</v>
      </c>
      <c r="R20" s="5" t="s">
        <v>191</v>
      </c>
      <c r="S20" s="5" t="str">
        <f>IFERROR(VLOOKUP(Taula_Alumnes[[#This Row],[DNI/NIE/Passaport]],Questionari!D:O,5,FALSE),"")</f>
        <v>Carrer Mineria 1, esc.A, pis 5, porta 8</v>
      </c>
      <c r="T20" s="5" t="str">
        <f>IFERROR(VLOOKUP(Taula_Alumnes[[#This Row],[DNI/NIE/Passaport]],Questionari!D:O,6,FALSE),"")</f>
        <v>Barcelona</v>
      </c>
      <c r="U20" s="20">
        <f>IFERROR(VLOOKUP(Taula_Alumnes[[#This Row],[DNI/NIE/Passaport]],Questionari!D:O,7,FALSE),"")</f>
        <v>8038</v>
      </c>
      <c r="W20" s="22" t="s">
        <v>2</v>
      </c>
      <c r="X20" s="4" t="s">
        <v>2</v>
      </c>
      <c r="Y20" s="4" t="s">
        <v>455</v>
      </c>
      <c r="Z20" s="4" t="s">
        <v>486</v>
      </c>
      <c r="AA20" s="4">
        <v>630106718</v>
      </c>
      <c r="AB20" s="4" t="s">
        <v>487</v>
      </c>
      <c r="AC20" s="4" t="s">
        <v>488</v>
      </c>
      <c r="AD20" s="38">
        <v>46160</v>
      </c>
      <c r="AE20" s="38">
        <v>46220</v>
      </c>
      <c r="AF20" s="6">
        <v>291</v>
      </c>
      <c r="AG20" s="5" t="s">
        <v>435</v>
      </c>
      <c r="AH20" s="4"/>
      <c r="AJ20" s="4"/>
    </row>
    <row r="21" spans="1:36" ht="13.5" customHeight="1" x14ac:dyDescent="0.35">
      <c r="A21" s="4">
        <v>23</v>
      </c>
      <c r="B21" s="32" t="str">
        <f>HYPERLINK(_xlfn.CONCAT("D:\La meva unitat\FCT\Promoció 2025-27\Alumnes\",Taula_Alumnes[[#This Row],[Nom sencer]],"\CV_",Taula_Alumnes[[#This Row],[Nom sencer]],".pdf"),"CV")</f>
        <v>CV</v>
      </c>
      <c r="C21" s="5" t="s">
        <v>123</v>
      </c>
      <c r="D21" s="5" t="s">
        <v>124</v>
      </c>
      <c r="E21" s="5" t="str">
        <f>_xlfn.CONCAT(TRIM(Taula_Alumnes[[#This Row],[Cognoms]]), ", ", TRIM(Taula_Alumnes[[#This Row],[Nom]]))</f>
        <v>Miravete Núñez, Tristan</v>
      </c>
      <c r="F21" s="4">
        <f>COUNTIF(Seguiment!F:F,Taula_Alumnes[[#This Row],[Nom sencer]])</f>
        <v>1</v>
      </c>
      <c r="G21" s="4">
        <f>COUNTIF(Seguiment!G:G,Taula_Alumnes[[#This Row],[Nom sencer]])++COUNTIF(Seguiment!H:H,Taula_Alumnes[[#This Row],[Nom sencer]])</f>
        <v>1</v>
      </c>
      <c r="H21" s="4" t="str">
        <f>IF(Taula_Alumnes[[#This Row],[Env]]=Taula_Alumnes[[#This Row],[Reb/NT]],IF(Taula_Alumnes[[#This Row],[Ok]]="Pendent","Sí","No"),"No")</f>
        <v>Sí</v>
      </c>
      <c r="I21" s="4" t="str">
        <f>IF(Taula_Alumnes[[#This Row],[Tipus]]=Taula_Alumnes[[#This Row],[Estat]],"Assignat",IF(Taula_Alumnes[[#This Row],[Estat]]="Pràctiques finalitzades","Finalitzades","Pendent"))</f>
        <v>Pendent</v>
      </c>
      <c r="J21" s="4"/>
      <c r="K21" s="4" t="s">
        <v>165</v>
      </c>
      <c r="L21" s="9">
        <v>38141</v>
      </c>
      <c r="M21" s="6" t="str">
        <f ca="1">_xlfn.CONCAT(TEXT(_xlfn.DAYS(TODAY(),Taula_Alumnes[[#This Row],[Data Naixement]])/365,"##")," anys")</f>
        <v>22 anys</v>
      </c>
      <c r="N21" s="10">
        <v>672729689</v>
      </c>
      <c r="O21" s="10">
        <v>664837283</v>
      </c>
      <c r="P21" s="4" t="str">
        <f>IFERROR(VLOOKUP(Taula_Alumnes[[#This Row],[DNI/NIE/Passaport]],Questionari!D:O,11,FALSE),"")</f>
        <v>MINU 0 040603 00 4</v>
      </c>
      <c r="Q21" s="30">
        <f>IFERROR(VLOOKUP(Taula_Alumnes[[#This Row],[DNI/NIE/Passaport]],Questionari!D:O,12,FALSE),"-")</f>
        <v>81345281346</v>
      </c>
      <c r="R21" s="5" t="s">
        <v>192</v>
      </c>
      <c r="S21" s="5" t="str">
        <f>IFERROR(VLOOKUP(Taula_Alumnes[[#This Row],[DNI/NIE/Passaport]],Questionari!D:O,5,FALSE),"")</f>
        <v>Carrer Calabria 33 5,2</v>
      </c>
      <c r="T21" s="5" t="str">
        <f>IFERROR(VLOOKUP(Taula_Alumnes[[#This Row],[DNI/NIE/Passaport]],Questionari!D:O,6,FALSE),"")</f>
        <v>Barcelona</v>
      </c>
      <c r="U21" s="20">
        <f>IFERROR(VLOOKUP(Taula_Alumnes[[#This Row],[DNI/NIE/Passaport]],Questionari!D:O,7,FALSE),"")</f>
        <v>8015</v>
      </c>
      <c r="W21" s="22" t="s">
        <v>2</v>
      </c>
      <c r="X21" s="4" t="s">
        <v>0</v>
      </c>
      <c r="Y21" s="4" t="s">
        <v>20</v>
      </c>
      <c r="Z21" s="4"/>
      <c r="AA21" s="4"/>
      <c r="AB21" s="4"/>
      <c r="AC21" s="4"/>
      <c r="AD21" s="38"/>
      <c r="AE21" s="38"/>
      <c r="AF21" s="6"/>
      <c r="AG21" s="5"/>
      <c r="AH21" s="4"/>
      <c r="AJ21" s="4"/>
    </row>
    <row r="22" spans="1:36" ht="13.5" hidden="1" customHeight="1" x14ac:dyDescent="0.35">
      <c r="A22" s="4">
        <v>24</v>
      </c>
      <c r="B22" s="32" t="str">
        <f>HYPERLINK(_xlfn.CONCAT("D:\La meva unitat\FCT\Promoció 2025-27\Alumnes\",Taula_Alumnes[[#This Row],[Nom sencer]],"\CV_",Taula_Alumnes[[#This Row],[Nom sencer]],".pdf"),"CV")</f>
        <v>CV</v>
      </c>
      <c r="C22" s="5" t="s">
        <v>126</v>
      </c>
      <c r="D22" s="5" t="s">
        <v>127</v>
      </c>
      <c r="E22" s="5" t="str">
        <f>_xlfn.CONCAT(TRIM(Taula_Alumnes[[#This Row],[Cognoms]]), ", ", TRIM(Taula_Alumnes[[#This Row],[Nom]]))</f>
        <v>Pérez Hernando, Álvaro</v>
      </c>
      <c r="F22" s="4">
        <f>COUNTIF(Seguiment!F:F,Taula_Alumnes[[#This Row],[Nom sencer]])</f>
        <v>0</v>
      </c>
      <c r="G22" s="4">
        <f>COUNTIF(Seguiment!G:G,Taula_Alumnes[[#This Row],[Nom sencer]])++COUNTIF(Seguiment!H:H,Taula_Alumnes[[#This Row],[Nom sencer]])</f>
        <v>0</v>
      </c>
      <c r="H22" s="4" t="str">
        <f>IF(Taula_Alumnes[[#This Row],[Env]]=Taula_Alumnes[[#This Row],[Reb/NT]],IF(Taula_Alumnes[[#This Row],[Ok]]="Pendent","Sí","No"),"No")</f>
        <v>Sí</v>
      </c>
      <c r="I22" s="4" t="str">
        <f>IF(Taula_Alumnes[[#This Row],[Tipus]]=Taula_Alumnes[[#This Row],[Estat]],"Assignat",IF(Taula_Alumnes[[#This Row],[Estat]]="Pràctiques finalitzades","Finalitzades","Pendent"))</f>
        <v>Pendent</v>
      </c>
      <c r="J22" s="4"/>
      <c r="K22" s="4" t="s">
        <v>166</v>
      </c>
      <c r="L22" s="9">
        <v>39035</v>
      </c>
      <c r="M22" s="6" t="str">
        <f ca="1">_xlfn.CONCAT(TEXT(_xlfn.DAYS(TODAY(),Taula_Alumnes[[#This Row],[Data Naixement]])/365,"##")," anys")</f>
        <v>20 anys</v>
      </c>
      <c r="N22" s="10">
        <v>663910905</v>
      </c>
      <c r="O22" s="10">
        <v>678348239</v>
      </c>
      <c r="P22" s="4" t="str">
        <f>IFERROR(VLOOKUP(Taula_Alumnes[[#This Row],[DNI/NIE/Passaport]],Questionari!D:O,11,FALSE),"")</f>
        <v>PEHE 0 061114 00 1</v>
      </c>
      <c r="Q22" s="30">
        <f>IFERROR(VLOOKUP(Taula_Alumnes[[#This Row],[DNI/NIE/Passaport]],Questionari!D:O,12,FALSE),"-")</f>
        <v>81473024686</v>
      </c>
      <c r="R22" s="5" t="s">
        <v>193</v>
      </c>
      <c r="S22" s="5" t="str">
        <f>IFERROR(VLOOKUP(Taula_Alumnes[[#This Row],[DNI/NIE/Passaport]],Questionari!D:O,5,FALSE),"")</f>
        <v>Carrer Enric Prat de la Riba, 43</v>
      </c>
      <c r="T22" s="5" t="str">
        <f>IFERROR(VLOOKUP(Taula_Alumnes[[#This Row],[DNI/NIE/Passaport]],Questionari!D:O,6,FALSE),"")</f>
        <v>Gelida</v>
      </c>
      <c r="U22" s="20">
        <f>IFERROR(VLOOKUP(Taula_Alumnes[[#This Row],[DNI/NIE/Passaport]],Questionari!D:O,7,FALSE),"")</f>
        <v>8790</v>
      </c>
      <c r="W22" s="22" t="s">
        <v>29</v>
      </c>
      <c r="X22" s="4" t="s">
        <v>0</v>
      </c>
      <c r="Y22" s="4" t="s">
        <v>20</v>
      </c>
      <c r="Z22" s="4"/>
      <c r="AA22" s="4"/>
      <c r="AB22" s="4"/>
      <c r="AC22" s="4"/>
      <c r="AD22" s="38"/>
      <c r="AE22" s="38"/>
      <c r="AF22" s="6"/>
      <c r="AG22" s="5"/>
      <c r="AH22" s="4"/>
      <c r="AJ22" s="4"/>
    </row>
    <row r="23" spans="1:36" ht="13.5" customHeight="1" x14ac:dyDescent="0.35">
      <c r="A23" s="4">
        <v>25</v>
      </c>
      <c r="B23" s="32" t="str">
        <f>HYPERLINK(_xlfn.CONCAT("D:\La meva unitat\FCT\Promoció 2025-27\Alumnes\",Taula_Alumnes[[#This Row],[Nom sencer]],"\CV_",Taula_Alumnes[[#This Row],[Nom sencer]],".pdf"),"CV")</f>
        <v>CV</v>
      </c>
      <c r="C23" s="5" t="s">
        <v>129</v>
      </c>
      <c r="D23" s="5" t="s">
        <v>130</v>
      </c>
      <c r="E23" s="5" t="str">
        <f>_xlfn.CONCAT(TRIM(Taula_Alumnes[[#This Row],[Cognoms]]), ", ", TRIM(Taula_Alumnes[[#This Row],[Nom]]))</f>
        <v>Pesado Flores, Samuel</v>
      </c>
      <c r="F23" s="4">
        <f>COUNTIF(Seguiment!F:F,Taula_Alumnes[[#This Row],[Nom sencer]])</f>
        <v>0</v>
      </c>
      <c r="G23" s="4">
        <f>COUNTIF(Seguiment!G:G,Taula_Alumnes[[#This Row],[Nom sencer]])++COUNTIF(Seguiment!H:H,Taula_Alumnes[[#This Row],[Nom sencer]])</f>
        <v>0</v>
      </c>
      <c r="H23" s="4" t="str">
        <f>IF(Taula_Alumnes[[#This Row],[Env]]=Taula_Alumnes[[#This Row],[Reb/NT]],IF(Taula_Alumnes[[#This Row],[Ok]]="Pendent","Sí","No"),"No")</f>
        <v>Sí</v>
      </c>
      <c r="I23" s="4" t="str">
        <f>IF(Taula_Alumnes[[#This Row],[Tipus]]=Taula_Alumnes[[#This Row],[Estat]],"Assignat",IF(Taula_Alumnes[[#This Row],[Estat]]="Pràctiques finalitzades","Finalitzades","Pendent"))</f>
        <v>Pendent</v>
      </c>
      <c r="J23" s="4"/>
      <c r="K23" s="4" t="s">
        <v>167</v>
      </c>
      <c r="L23" s="9">
        <v>39365</v>
      </c>
      <c r="M23" s="6" t="str">
        <f ca="1">_xlfn.CONCAT(TEXT(_xlfn.DAYS(TODAY(),Taula_Alumnes[[#This Row],[Data Naixement]])/365,"##")," anys")</f>
        <v>19 anys</v>
      </c>
      <c r="N23" s="10">
        <v>640862329</v>
      </c>
      <c r="O23" s="10">
        <v>640862329</v>
      </c>
      <c r="P23" s="4" t="str">
        <f>IFERROR(VLOOKUP(Taula_Alumnes[[#This Row],[DNI/NIE/Passaport]],Questionari!D:O,11,FALSE),"")</f>
        <v>PEFL 0 071010 00 3</v>
      </c>
      <c r="Q23" s="30">
        <f>IFERROR(VLOOKUP(Taula_Alumnes[[#This Row],[DNI/NIE/Passaport]],Questionari!D:O,12,FALSE),"-")</f>
        <v>81472251013</v>
      </c>
      <c r="R23" s="5" t="s">
        <v>194</v>
      </c>
      <c r="S23" s="5" t="str">
        <f>IFERROR(VLOOKUP(Taula_Alumnes[[#This Row],[DNI/NIE/Passaport]],Questionari!D:O,5,FALSE),"")</f>
        <v>cami de can oriol</v>
      </c>
      <c r="T23" s="5" t="str">
        <f>IFERROR(VLOOKUP(Taula_Alumnes[[#This Row],[DNI/NIE/Passaport]],Questionari!D:O,6,FALSE),"")</f>
        <v>Rubí</v>
      </c>
      <c r="U23" s="20">
        <f>IFERROR(VLOOKUP(Taula_Alumnes[[#This Row],[DNI/NIE/Passaport]],Questionari!D:O,7,FALSE),"")</f>
        <v>8191</v>
      </c>
      <c r="W23" s="22" t="s">
        <v>2</v>
      </c>
      <c r="X23" s="4" t="s">
        <v>0</v>
      </c>
      <c r="Y23" s="4" t="s">
        <v>20</v>
      </c>
      <c r="Z23" s="4"/>
      <c r="AA23" s="4"/>
      <c r="AB23" s="4"/>
      <c r="AC23" s="4"/>
      <c r="AD23" s="38"/>
      <c r="AE23" s="38"/>
      <c r="AF23" s="6"/>
      <c r="AG23" s="5"/>
      <c r="AH23" s="4"/>
      <c r="AJ23" s="4"/>
    </row>
    <row r="24" spans="1:36" ht="13.5" hidden="1" customHeight="1" x14ac:dyDescent="0.35">
      <c r="A24" s="4">
        <v>26</v>
      </c>
      <c r="B24" s="32" t="str">
        <f>HYPERLINK(_xlfn.CONCAT("D:\La meva unitat\FCT\Promoció 2025-27\Alumnes\",Taula_Alumnes[[#This Row],[Nom sencer]],"\CV_",Taula_Alumnes[[#This Row],[Nom sencer]],".pdf"),"CV")</f>
        <v>CV</v>
      </c>
      <c r="C24" s="5" t="s">
        <v>132</v>
      </c>
      <c r="D24" s="5" t="s">
        <v>14</v>
      </c>
      <c r="E24" s="5" t="str">
        <f>_xlfn.CONCAT(TRIM(Taula_Alumnes[[#This Row],[Cognoms]]), ", ", TRIM(Taula_Alumnes[[#This Row],[Nom]]))</f>
        <v>Ricote Fernández, Marc</v>
      </c>
      <c r="F24" s="4">
        <f>COUNTIF(Seguiment!F:F,Taula_Alumnes[[#This Row],[Nom sencer]])</f>
        <v>0</v>
      </c>
      <c r="G24" s="4">
        <f>COUNTIF(Seguiment!G:G,Taula_Alumnes[[#This Row],[Nom sencer]])++COUNTIF(Seguiment!H:H,Taula_Alumnes[[#This Row],[Nom sencer]])</f>
        <v>0</v>
      </c>
      <c r="H24" s="4" t="str">
        <f>IF(Taula_Alumnes[[#This Row],[Env]]=Taula_Alumnes[[#This Row],[Reb/NT]],IF(Taula_Alumnes[[#This Row],[Ok]]="Pendent","Sí","No"),"No")</f>
        <v>No</v>
      </c>
      <c r="I24" s="4" t="str">
        <f>IF(Taula_Alumnes[[#This Row],[Tipus]]=Taula_Alumnes[[#This Row],[Estat]],"Assignat",IF(Taula_Alumnes[[#This Row],[Estat]]="Pràctiques finalitzades","Finalitzades","Pendent"))</f>
        <v>Assignat</v>
      </c>
      <c r="J24" s="4" t="s">
        <v>412</v>
      </c>
      <c r="K24" s="4" t="s">
        <v>168</v>
      </c>
      <c r="L24" s="9">
        <v>39282</v>
      </c>
      <c r="M24" s="6" t="str">
        <f ca="1">_xlfn.CONCAT(TEXT(_xlfn.DAYS(TODAY(),Taula_Alumnes[[#This Row],[Data Naixement]])/365,"##")," anys")</f>
        <v>19 anys</v>
      </c>
      <c r="N24" s="10">
        <v>688785765</v>
      </c>
      <c r="O24" s="10">
        <v>601254487</v>
      </c>
      <c r="P24" s="4" t="str">
        <f>IFERROR(VLOOKUP(Taula_Alumnes[[#This Row],[DNI/NIE/Passaport]],Questionari!D:O,11,FALSE),"")</f>
        <v>RIFE 0 070719 00 5</v>
      </c>
      <c r="Q24" s="30">
        <f>IFERROR(VLOOKUP(Taula_Alumnes[[#This Row],[DNI/NIE/Passaport]],Questionari!D:O,12,FALSE),"-")</f>
        <v>81516648822</v>
      </c>
      <c r="R24" s="5" t="s">
        <v>195</v>
      </c>
      <c r="S24" s="5" t="str">
        <f>IFERROR(VLOOKUP(Taula_Alumnes[[#This Row],[DNI/NIE/Passaport]],Questionari!D:O,5,FALSE),"")</f>
        <v>Passeig de la zona franca 208, ESC IZQ ATCO 2</v>
      </c>
      <c r="T24" s="5" t="str">
        <f>IFERROR(VLOOKUP(Taula_Alumnes[[#This Row],[DNI/NIE/Passaport]],Questionari!D:O,6,FALSE),"")</f>
        <v>Barcelona</v>
      </c>
      <c r="U24" s="20">
        <f>IFERROR(VLOOKUP(Taula_Alumnes[[#This Row],[DNI/NIE/Passaport]],Questionari!D:O,7,FALSE),"")</f>
        <v>8038</v>
      </c>
      <c r="W24" s="22" t="s">
        <v>2</v>
      </c>
      <c r="X24" s="4" t="s">
        <v>2</v>
      </c>
      <c r="Y24" s="4" t="s">
        <v>414</v>
      </c>
      <c r="Z24" s="4" t="s">
        <v>429</v>
      </c>
      <c r="AA24" s="4">
        <v>934803322</v>
      </c>
      <c r="AB24" s="32" t="s">
        <v>430</v>
      </c>
      <c r="AC24" s="4" t="s">
        <v>431</v>
      </c>
      <c r="AD24" s="38">
        <v>46119</v>
      </c>
      <c r="AE24" s="38">
        <v>46220</v>
      </c>
      <c r="AF24" s="6">
        <v>424</v>
      </c>
      <c r="AG24" s="5" t="s">
        <v>435</v>
      </c>
      <c r="AH24" s="4"/>
      <c r="AJ24" s="4"/>
    </row>
    <row r="25" spans="1:36" ht="13.5" hidden="1" customHeight="1" x14ac:dyDescent="0.35">
      <c r="A25" s="4">
        <v>27</v>
      </c>
      <c r="B25" s="32" t="str">
        <f>HYPERLINK(_xlfn.CONCAT("D:\La meva unitat\FCT\Promoció 2025-27\Alumnes\",Taula_Alumnes[[#This Row],[Nom sencer]],"\CV_",Taula_Alumnes[[#This Row],[Nom sencer]],".pdf"),"CV")</f>
        <v>CV</v>
      </c>
      <c r="C25" s="5" t="s">
        <v>134</v>
      </c>
      <c r="D25" s="5" t="s">
        <v>92</v>
      </c>
      <c r="E25" s="5" t="str">
        <f>_xlfn.CONCAT(TRIM(Taula_Alumnes[[#This Row],[Cognoms]]), ", ", TRIM(Taula_Alumnes[[#This Row],[Nom]]))</f>
        <v>Rodríguez González, Mario</v>
      </c>
      <c r="F25" s="4">
        <f>COUNTIF(Seguiment!F:F,Taula_Alumnes[[#This Row],[Nom sencer]])</f>
        <v>3</v>
      </c>
      <c r="G25" s="4">
        <f>COUNTIF(Seguiment!G:G,Taula_Alumnes[[#This Row],[Nom sencer]])++COUNTIF(Seguiment!H:H,Taula_Alumnes[[#This Row],[Nom sencer]])</f>
        <v>3</v>
      </c>
      <c r="H25" s="4" t="str">
        <f>IF(Taula_Alumnes[[#This Row],[Env]]=Taula_Alumnes[[#This Row],[Reb/NT]],IF(Taula_Alumnes[[#This Row],[Ok]]="Pendent","Sí","No"),"No")</f>
        <v>Sí</v>
      </c>
      <c r="I25" s="4" t="str">
        <f>IF(Taula_Alumnes[[#This Row],[Tipus]]=Taula_Alumnes[[#This Row],[Estat]],"Assignat",IF(Taula_Alumnes[[#This Row],[Estat]]="Pràctiques finalitzades","Finalitzades","Pendent"))</f>
        <v>Pendent</v>
      </c>
      <c r="J25" s="4"/>
      <c r="K25" s="4" t="s">
        <v>323</v>
      </c>
      <c r="L25" s="9">
        <v>38964</v>
      </c>
      <c r="M25" s="6" t="str">
        <f ca="1">_xlfn.CONCAT(TEXT(_xlfn.DAYS(TODAY(),Taula_Alumnes[[#This Row],[Data Naixement]])/365,"##")," anys")</f>
        <v>20 anys</v>
      </c>
      <c r="N25" s="10">
        <v>644417955</v>
      </c>
      <c r="O25" s="10">
        <v>616432401</v>
      </c>
      <c r="P25" s="4" t="str">
        <f>IFERROR(VLOOKUP(Taula_Alumnes[[#This Row],[DNI/NIE/Passaport]],Questionari!D:O,11,FALSE),"")</f>
        <v>ROGO 0 060904 00 3</v>
      </c>
      <c r="Q25" s="30">
        <f>IFERROR(VLOOKUP(Taula_Alumnes[[#This Row],[DNI/NIE/Passaport]],Questionari!D:O,12,FALSE),"-")</f>
        <v>81376947705</v>
      </c>
      <c r="R25" s="5" t="s">
        <v>196</v>
      </c>
      <c r="S25" s="5" t="str">
        <f>IFERROR(VLOOKUP(Taula_Alumnes[[#This Row],[DNI/NIE/Passaport]],Questionari!D:O,5,FALSE),"")</f>
        <v>Carrer San Sebastián 110, Sant Cugat del Vallès</v>
      </c>
      <c r="T25" s="5" t="str">
        <f>IFERROR(VLOOKUP(Taula_Alumnes[[#This Row],[DNI/NIE/Passaport]],Questionari!D:O,6,FALSE),"")</f>
        <v>Sant Cugat del Vallès</v>
      </c>
      <c r="U25" s="20">
        <f>IFERROR(VLOOKUP(Taula_Alumnes[[#This Row],[DNI/NIE/Passaport]],Questionari!D:O,7,FALSE),"")</f>
        <v>8195</v>
      </c>
      <c r="W25" s="22" t="s">
        <v>1</v>
      </c>
      <c r="X25" s="4" t="s">
        <v>0</v>
      </c>
      <c r="Y25" s="4" t="s">
        <v>20</v>
      </c>
      <c r="Z25" s="4"/>
      <c r="AA25" s="4"/>
      <c r="AB25" s="4"/>
      <c r="AC25" s="4"/>
      <c r="AD25" s="38"/>
      <c r="AE25" s="38"/>
      <c r="AF25" s="6"/>
      <c r="AG25" s="5"/>
      <c r="AH25" s="4"/>
      <c r="AJ25" s="4"/>
    </row>
    <row r="26" spans="1:36" ht="13.5" hidden="1" customHeight="1" x14ac:dyDescent="0.35">
      <c r="A26" s="4">
        <v>28</v>
      </c>
      <c r="B26" s="32" t="str">
        <f>HYPERLINK(_xlfn.CONCAT("D:\La meva unitat\FCT\Promoció 2025-27\Alumnes\",Taula_Alumnes[[#This Row],[Nom sencer]],"\CV_",Taula_Alumnes[[#This Row],[Nom sencer]],".pdf"),"CV")</f>
        <v>CV</v>
      </c>
      <c r="C26" s="5" t="s">
        <v>136</v>
      </c>
      <c r="D26" s="5" t="s">
        <v>137</v>
      </c>
      <c r="E26" s="5" t="str">
        <f>_xlfn.CONCAT(TRIM(Taula_Alumnes[[#This Row],[Cognoms]]), ", ", TRIM(Taula_Alumnes[[#This Row],[Nom]]))</f>
        <v>Sánchez Herrera, Andres Mauricio</v>
      </c>
      <c r="F26" s="4">
        <f>COUNTIF(Seguiment!F:F,Taula_Alumnes[[#This Row],[Nom sencer]])</f>
        <v>0</v>
      </c>
      <c r="G26" s="4">
        <f>COUNTIF(Seguiment!G:G,Taula_Alumnes[[#This Row],[Nom sencer]])++COUNTIF(Seguiment!H:H,Taula_Alumnes[[#This Row],[Nom sencer]])</f>
        <v>0</v>
      </c>
      <c r="H26" s="4" t="str">
        <f>IF(Taula_Alumnes[[#This Row],[Env]]=Taula_Alumnes[[#This Row],[Reb/NT]],IF(Taula_Alumnes[[#This Row],[Ok]]="Pendent","Sí","No"),"No")</f>
        <v>Sí</v>
      </c>
      <c r="I26" s="4" t="str">
        <f>IF(Taula_Alumnes[[#This Row],[Tipus]]=Taula_Alumnes[[#This Row],[Estat]],"Assignat",IF(Taula_Alumnes[[#This Row],[Estat]]="Pràctiques finalitzades","Finalitzades","Pendent"))</f>
        <v>Pendent</v>
      </c>
      <c r="J26" s="4" t="s">
        <v>490</v>
      </c>
      <c r="K26" s="4" t="s">
        <v>169</v>
      </c>
      <c r="L26" s="9">
        <v>35376</v>
      </c>
      <c r="M26" s="6" t="str">
        <f ca="1">_xlfn.CONCAT(TEXT(_xlfn.DAYS(TODAY(),Taula_Alumnes[[#This Row],[Data Naixement]])/365,"##")," anys")</f>
        <v>30 anys</v>
      </c>
      <c r="N26" s="10">
        <v>662535065</v>
      </c>
      <c r="O26" s="10"/>
      <c r="P26" s="4" t="str">
        <f>IFERROR(VLOOKUP(Taula_Alumnes[[#This Row],[DNI/NIE/Passaport]],Questionari!D:O,11,FALSE),"")</f>
        <v>SAHE 0 961107 00 4</v>
      </c>
      <c r="Q26" s="30">
        <f>IFERROR(VLOOKUP(Taula_Alumnes[[#This Row],[DNI/NIE/Passaport]],Questionari!D:O,12,FALSE),"-")</f>
        <v>81455961679</v>
      </c>
      <c r="R26" s="5" t="s">
        <v>197</v>
      </c>
      <c r="S26" s="5" t="str">
        <f>IFERROR(VLOOKUP(Taula_Alumnes[[#This Row],[DNI/NIE/Passaport]],Questionari!D:O,5,FALSE),"")</f>
        <v>andyvmpier@gmail.com</v>
      </c>
      <c r="T26" s="5" t="str">
        <f>IFERROR(VLOOKUP(Taula_Alumnes[[#This Row],[DNI/NIE/Passaport]],Questionari!D:O,6,FALSE),"")</f>
        <v>L'Hospitalet de Llobregat</v>
      </c>
      <c r="U26" s="20">
        <f>IFERROR(VLOOKUP(Taula_Alumnes[[#This Row],[DNI/NIE/Passaport]],Questionari!D:O,7,FALSE),"")</f>
        <v>8905</v>
      </c>
      <c r="W26" s="22" t="s">
        <v>428</v>
      </c>
      <c r="X26" s="4" t="s">
        <v>0</v>
      </c>
      <c r="Y26" s="4" t="s">
        <v>20</v>
      </c>
      <c r="Z26" s="4"/>
      <c r="AA26" s="4"/>
      <c r="AB26" s="4"/>
      <c r="AC26" s="4"/>
      <c r="AD26" s="38"/>
      <c r="AE26" s="38"/>
      <c r="AF26" s="6"/>
      <c r="AG26" s="5"/>
      <c r="AH26" s="4"/>
      <c r="AJ26" s="4"/>
    </row>
    <row r="27" spans="1:36" ht="13.5" customHeight="1" x14ac:dyDescent="0.35">
      <c r="A27" s="4">
        <v>29</v>
      </c>
      <c r="B27" s="32" t="str">
        <f>HYPERLINK(_xlfn.CONCAT("D:\La meva unitat\FCT\Promoció 2025-27\Alumnes\",Taula_Alumnes[[#This Row],[Nom sencer]],"\CV_",Taula_Alumnes[[#This Row],[Nom sencer]],".pdf"),"CV")</f>
        <v>CV</v>
      </c>
      <c r="C27" s="5" t="s">
        <v>139</v>
      </c>
      <c r="D27" s="5" t="s">
        <v>140</v>
      </c>
      <c r="E27" s="5" t="str">
        <f>_xlfn.CONCAT(TRIM(Taula_Alumnes[[#This Row],[Cognoms]]), ", ", TRIM(Taula_Alumnes[[#This Row],[Nom]]))</f>
        <v>Simarro González, Izan</v>
      </c>
      <c r="F27" s="4">
        <f>COUNTIF(Seguiment!F:F,Taula_Alumnes[[#This Row],[Nom sencer]])</f>
        <v>2</v>
      </c>
      <c r="G27" s="4">
        <f>COUNTIF(Seguiment!G:G,Taula_Alumnes[[#This Row],[Nom sencer]])++COUNTIF(Seguiment!H:H,Taula_Alumnes[[#This Row],[Nom sencer]])</f>
        <v>2</v>
      </c>
      <c r="H27" s="4" t="str">
        <f>IF(Taula_Alumnes[[#This Row],[Env]]=Taula_Alumnes[[#This Row],[Reb/NT]],IF(Taula_Alumnes[[#This Row],[Ok]]="Pendent","Sí","No"),"No")</f>
        <v>Sí</v>
      </c>
      <c r="I27" s="4" t="str">
        <f>IF(Taula_Alumnes[[#This Row],[Tipus]]=Taula_Alumnes[[#This Row],[Estat]],"Assignat",IF(Taula_Alumnes[[#This Row],[Estat]]="Pràctiques finalitzades","Finalitzades","Pendent"))</f>
        <v>Pendent</v>
      </c>
      <c r="J27" s="4"/>
      <c r="K27" s="4" t="s">
        <v>170</v>
      </c>
      <c r="L27" s="9">
        <v>39111</v>
      </c>
      <c r="M27" s="6" t="str">
        <f ca="1">_xlfn.CONCAT(TEXT(_xlfn.DAYS(TODAY(),Taula_Alumnes[[#This Row],[Data Naixement]])/365,"##")," anys")</f>
        <v>19 anys</v>
      </c>
      <c r="N27" s="10">
        <v>620993816</v>
      </c>
      <c r="O27" s="10">
        <v>934211118</v>
      </c>
      <c r="P27" s="4" t="str">
        <f>IFERROR(VLOOKUP(Taula_Alumnes[[#This Row],[DNI/NIE/Passaport]],Questionari!D:O,11,FALSE),"")</f>
        <v>SIGO 0 070129 00 5</v>
      </c>
      <c r="Q27" s="30">
        <f>IFERROR(VLOOKUP(Taula_Alumnes[[#This Row],[DNI/NIE/Passaport]],Questionari!D:O,12,FALSE),"-")</f>
        <v>81472138350</v>
      </c>
      <c r="R27" s="5" t="s">
        <v>198</v>
      </c>
      <c r="S27" s="5" t="str">
        <f>IFERROR(VLOOKUP(Taula_Alumnes[[#This Row],[DNI/NIE/Passaport]],Questionari!D:O,5,FALSE),"")</f>
        <v>Carrer Gernika, 1-5, 6º 4</v>
      </c>
      <c r="T27" s="5" t="str">
        <f>IFERROR(VLOOKUP(Taula_Alumnes[[#This Row],[DNI/NIE/Passaport]],Questionari!D:O,6,FALSE),"")</f>
        <v>Barcelona</v>
      </c>
      <c r="U27" s="20">
        <f>IFERROR(VLOOKUP(Taula_Alumnes[[#This Row],[DNI/NIE/Passaport]],Questionari!D:O,7,FALSE),"")</f>
        <v>8038</v>
      </c>
      <c r="W27" s="22" t="s">
        <v>2</v>
      </c>
      <c r="X27" s="4" t="s">
        <v>0</v>
      </c>
      <c r="Y27" s="4" t="s">
        <v>20</v>
      </c>
      <c r="Z27" s="4"/>
      <c r="AA27" s="4"/>
      <c r="AB27" s="4"/>
      <c r="AC27" s="4"/>
      <c r="AD27" s="38"/>
      <c r="AE27" s="38"/>
      <c r="AF27" s="6"/>
      <c r="AG27" s="5"/>
      <c r="AH27" s="4"/>
      <c r="AJ27" s="4"/>
    </row>
    <row r="28" spans="1:36" ht="13.5" hidden="1" customHeight="1" x14ac:dyDescent="0.35">
      <c r="A28" s="4">
        <v>30</v>
      </c>
      <c r="B28" s="32" t="str">
        <f>HYPERLINK(_xlfn.CONCAT("D:\La meva unitat\FCT\Promoció 2025-27\Alumnes\",Taula_Alumnes[[#This Row],[Nom sencer]],"\CV_",Taula_Alumnes[[#This Row],[Nom sencer]],".pdf"),"CV")</f>
        <v>CV</v>
      </c>
      <c r="C28" s="5" t="s">
        <v>142</v>
      </c>
      <c r="D28" s="5" t="s">
        <v>143</v>
      </c>
      <c r="E28" s="5" t="str">
        <f>_xlfn.CONCAT(TRIM(Taula_Alumnes[[#This Row],[Cognoms]]), ", ", TRIM(Taula_Alumnes[[#This Row],[Nom]]))</f>
        <v>Xu, Montserrat</v>
      </c>
      <c r="F28" s="4">
        <f>COUNTIF(Seguiment!F:F,Taula_Alumnes[[#This Row],[Nom sencer]])</f>
        <v>2</v>
      </c>
      <c r="G28" s="4">
        <f>COUNTIF(Seguiment!G:G,Taula_Alumnes[[#This Row],[Nom sencer]])++COUNTIF(Seguiment!H:H,Taula_Alumnes[[#This Row],[Nom sencer]])</f>
        <v>1</v>
      </c>
      <c r="H28" s="4" t="str">
        <f>IF(Taula_Alumnes[[#This Row],[Env]]=Taula_Alumnes[[#This Row],[Reb/NT]],IF(Taula_Alumnes[[#This Row],[Ok]]="Pendent","Sí","No"),"No")</f>
        <v>No</v>
      </c>
      <c r="I28" s="4" t="str">
        <f>IF(Taula_Alumnes[[#This Row],[Tipus]]=Taula_Alumnes[[#This Row],[Estat]],"Assignat",IF(Taula_Alumnes[[#This Row],[Estat]]="Pràctiques finalitzades","Finalitzades","Pendent"))</f>
        <v>Assignat</v>
      </c>
      <c r="J28" s="4"/>
      <c r="K28" s="4" t="s">
        <v>171</v>
      </c>
      <c r="L28" s="9">
        <v>38926</v>
      </c>
      <c r="M28" s="6" t="str">
        <f ca="1">_xlfn.CONCAT(TEXT(_xlfn.DAYS(TODAY(),Taula_Alumnes[[#This Row],[Data Naixement]])/365,"##")," anys")</f>
        <v>20 anys</v>
      </c>
      <c r="N28" s="10">
        <v>695210605</v>
      </c>
      <c r="O28" s="10">
        <v>695210605</v>
      </c>
      <c r="P28" s="4" t="str">
        <f>IFERROR(VLOOKUP(Taula_Alumnes[[#This Row],[DNI/NIE/Passaport]],Questionari!D:O,11,FALSE),"")</f>
        <v>XUXX 1 060728 00 1</v>
      </c>
      <c r="Q28" s="30">
        <f>IFERROR(VLOOKUP(Taula_Alumnes[[#This Row],[DNI/NIE/Passaport]],Questionari!D:O,12,FALSE),"-")</f>
        <v>81472210694</v>
      </c>
      <c r="R28" s="5" t="s">
        <v>199</v>
      </c>
      <c r="S28" s="5" t="str">
        <f>IFERROR(VLOOKUP(Taula_Alumnes[[#This Row],[DNI/NIE/Passaport]],Questionari!D:O,5,FALSE),"")</f>
        <v>Pl. d'Europa, 14, 15A</v>
      </c>
      <c r="T28" s="5" t="str">
        <f>IFERROR(VLOOKUP(Taula_Alumnes[[#This Row],[DNI/NIE/Passaport]],Questionari!D:O,6,FALSE),"")</f>
        <v>L'Hospitalet de Llobregat</v>
      </c>
      <c r="U28" s="20">
        <f>IFERROR(VLOOKUP(Taula_Alumnes[[#This Row],[DNI/NIE/Passaport]],Questionari!D:O,7,FALSE),"")</f>
        <v>8902</v>
      </c>
      <c r="W28" s="22" t="s">
        <v>2</v>
      </c>
      <c r="X28" s="4" t="s">
        <v>2</v>
      </c>
      <c r="Y28" s="4" t="s">
        <v>465</v>
      </c>
      <c r="Z28" s="4" t="s">
        <v>482</v>
      </c>
      <c r="AA28" s="4">
        <v>935453880</v>
      </c>
      <c r="AB28" s="32" t="s">
        <v>480</v>
      </c>
      <c r="AC28" s="4" t="s">
        <v>481</v>
      </c>
      <c r="AD28" s="38">
        <v>46174</v>
      </c>
      <c r="AE28" s="38">
        <v>46220</v>
      </c>
      <c r="AF28" s="6">
        <v>272</v>
      </c>
      <c r="AG28" s="5" t="s">
        <v>435</v>
      </c>
      <c r="AH28" s="4"/>
      <c r="AJ28" s="4"/>
    </row>
    <row r="29" spans="1:36" ht="13.5" customHeight="1" x14ac:dyDescent="0.35">
      <c r="A29" s="4">
        <v>31</v>
      </c>
      <c r="B29" s="32" t="str">
        <f>HYPERLINK(_xlfn.CONCAT("D:\La meva unitat\FCT\Promoció 2025-27\Alumnes\",Taula_Alumnes[[#This Row],[Nom sencer]],"\CV_",Taula_Alumnes[[#This Row],[Nom sencer]],".pdf"),"CV")</f>
        <v>CV</v>
      </c>
      <c r="C29" s="5" t="s">
        <v>145</v>
      </c>
      <c r="D29" s="5" t="s">
        <v>17</v>
      </c>
      <c r="E29" s="5" t="str">
        <f>_xlfn.CONCAT(TRIM(Taula_Alumnes[[#This Row],[Cognoms]]), ", ", TRIM(Taula_Alumnes[[#This Row],[Nom]]))</f>
        <v>Xufré Prieto, Biel</v>
      </c>
      <c r="F29" s="4">
        <f>COUNTIF(Seguiment!F:F,Taula_Alumnes[[#This Row],[Nom sencer]])</f>
        <v>0</v>
      </c>
      <c r="G29" s="4">
        <f>COUNTIF(Seguiment!G:G,Taula_Alumnes[[#This Row],[Nom sencer]])++COUNTIF(Seguiment!H:H,Taula_Alumnes[[#This Row],[Nom sencer]])</f>
        <v>0</v>
      </c>
      <c r="H29" s="4" t="str">
        <f>IF(Taula_Alumnes[[#This Row],[Env]]=Taula_Alumnes[[#This Row],[Reb/NT]],IF(Taula_Alumnes[[#This Row],[Ok]]="Pendent","Sí","No"),"No")</f>
        <v>Sí</v>
      </c>
      <c r="I29" s="4" t="str">
        <f>IF(Taula_Alumnes[[#This Row],[Tipus]]=Taula_Alumnes[[#This Row],[Estat]],"Assignat",IF(Taula_Alumnes[[#This Row],[Estat]]="Pràctiques finalitzades","Finalitzades","Pendent"))</f>
        <v>Pendent</v>
      </c>
      <c r="J29" s="4"/>
      <c r="K29" s="4" t="s">
        <v>172</v>
      </c>
      <c r="L29" s="9">
        <v>39354</v>
      </c>
      <c r="M29" s="6" t="str">
        <f ca="1">_xlfn.CONCAT(TEXT(_xlfn.DAYS(TODAY(),Taula_Alumnes[[#This Row],[Data Naixement]])/365,"##")," anys")</f>
        <v>19 anys</v>
      </c>
      <c r="N29" s="10">
        <v>694489035</v>
      </c>
      <c r="O29" s="10">
        <v>652949187</v>
      </c>
      <c r="P29" s="4" t="str">
        <f>IFERROR(VLOOKUP(Taula_Alumnes[[#This Row],[DNI/NIE/Passaport]],Questionari!D:O,11,FALSE),"")</f>
        <v>XUPR 0 070929 00 4</v>
      </c>
      <c r="Q29" s="30">
        <f>IFERROR(VLOOKUP(Taula_Alumnes[[#This Row],[DNI/NIE/Passaport]],Questionari!D:O,12,FALSE),"-")</f>
        <v>81471670124</v>
      </c>
      <c r="R29" s="5" t="s">
        <v>200</v>
      </c>
      <c r="S29" s="5" t="str">
        <f>IFERROR(VLOOKUP(Taula_Alumnes[[#This Row],[DNI/NIE/Passaport]],Questionari!D:O,5,FALSE),"")</f>
        <v>Carre Sant Joan 39</v>
      </c>
      <c r="T29" s="5" t="str">
        <f>IFERROR(VLOOKUP(Taula_Alumnes[[#This Row],[DNI/NIE/Passaport]],Questionari!D:O,6,FALSE),"")</f>
        <v>Esparreguera</v>
      </c>
      <c r="U29" s="20">
        <f>IFERROR(VLOOKUP(Taula_Alumnes[[#This Row],[DNI/NIE/Passaport]],Questionari!D:O,7,FALSE),"")</f>
        <v>8292</v>
      </c>
      <c r="W29" s="22" t="s">
        <v>2</v>
      </c>
      <c r="X29" s="4" t="s">
        <v>0</v>
      </c>
      <c r="Y29" s="4" t="s">
        <v>20</v>
      </c>
      <c r="Z29" s="4"/>
      <c r="AA29" s="4"/>
      <c r="AB29" s="4"/>
      <c r="AC29" s="4"/>
      <c r="AD29" s="38"/>
      <c r="AE29" s="38"/>
      <c r="AF29" s="6"/>
      <c r="AG29" s="5"/>
      <c r="AH29" s="4"/>
      <c r="AJ29" s="4"/>
    </row>
  </sheetData>
  <phoneticPr fontId="3" type="noConversion"/>
  <conditionalFormatting sqref="A2:AH29">
    <cfRule type="expression" dxfId="24" priority="30">
      <formula>$W2="No assig."</formula>
    </cfRule>
    <cfRule type="expression" dxfId="23" priority="34">
      <formula>$X2="Pràctiques finalitzades"</formula>
    </cfRule>
    <cfRule type="expression" dxfId="22" priority="56">
      <formula>$X2="Pendent Conveni"</formula>
    </cfRule>
    <cfRule type="expression" dxfId="21" priority="57">
      <formula>$X2="Pendent DualSigner"</formula>
    </cfRule>
    <cfRule type="expression" dxfId="20" priority="58">
      <formula>$X2="Dual gen."</formula>
    </cfRule>
    <cfRule type="expression" dxfId="19" priority="59">
      <formula>$X2="Pendent Dual gen."</formula>
    </cfRule>
    <cfRule type="expression" dxfId="18" priority="60">
      <formula>$X2="Entrevista Dual gen."</formula>
    </cfRule>
    <cfRule type="expression" dxfId="17" priority="61">
      <formula>$X2="Dual int."</formula>
    </cfRule>
    <cfRule type="expression" dxfId="16" priority="62">
      <formula>$X2="Pendent Dual int."</formula>
    </cfRule>
    <cfRule type="expression" dxfId="15" priority="63">
      <formula>$X2="Entrevista Dual int."</formula>
    </cfRule>
    <cfRule type="expression" dxfId="14" priority="64">
      <formula>$X2="Convalidació"</formula>
    </cfRule>
    <cfRule type="expression" dxfId="13" priority="65">
      <formula>$X2="Pendent convalidació"</formula>
    </cfRule>
  </conditionalFormatting>
  <conditionalFormatting sqref="F2:F29">
    <cfRule type="cellIs" dxfId="12" priority="28" operator="greaterThan">
      <formula>0</formula>
    </cfRule>
    <cfRule type="cellIs" dxfId="11" priority="29" operator="equal">
      <formula>0</formula>
    </cfRule>
  </conditionalFormatting>
  <conditionalFormatting sqref="G2:G29">
    <cfRule type="cellIs" dxfId="10" priority="25" operator="greaterThan">
      <formula>0</formula>
    </cfRule>
    <cfRule type="cellIs" dxfId="9" priority="27" operator="equal">
      <formula>0</formula>
    </cfRule>
  </conditionalFormatting>
  <conditionalFormatting sqref="Y2:AH29">
    <cfRule type="expression" dxfId="8" priority="66">
      <formula>$Y2&lt;&gt;"Sense empresa"</formula>
    </cfRule>
  </conditionalFormatting>
  <hyperlinks>
    <hyperlink ref="AB3" r:id="rId1" xr:uid="{0045B97D-E2DB-46AD-8883-EE0F9C8A8D7E}"/>
    <hyperlink ref="AB24" r:id="rId2" xr:uid="{07E65644-B610-4392-8160-324060972D2E}"/>
    <hyperlink ref="AB12" r:id="rId3" xr:uid="{8AC0B0DF-D0E3-43B0-8B19-904749366A57}"/>
    <hyperlink ref="AB19" r:id="rId4" xr:uid="{EC9C75C3-9371-4A31-AF2F-28F1D3479FE9}"/>
    <hyperlink ref="AB28" r:id="rId5" xr:uid="{F0B45B90-4045-45C4-B6A9-C95E9420B88D}"/>
    <hyperlink ref="AB14" r:id="rId6" xr:uid="{39DEDF62-2B1E-4AD5-BCC0-060010FB35CF}"/>
  </hyperlinks>
  <pageMargins left="0.7" right="0.7" top="0.75" bottom="0.75" header="0.3" footer="0.3"/>
  <pageSetup orientation="portrait" r:id="rId7"/>
  <ignoredErrors>
    <ignoredError sqref="Z3 Z24 Z12 Z19:Z20 Z28 Z14" calculatedColumn="1"/>
  </ignoredErrors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32B4E6-DC71-4058-969C-F06F3634BB1E}">
          <x14:formula1>
            <xm:f>Paràmetres!$E:$E</xm:f>
          </x14:formula1>
          <xm:sqref>W1:W1048576</xm:sqref>
        </x14:dataValidation>
        <x14:dataValidation type="list" allowBlank="1" showInputMessage="1" showErrorMessage="1" xr:uid="{FEB8FE58-D968-4EB0-9348-4B321A37B740}">
          <x14:formula1>
            <xm:f>Empreses!$A:$A</xm:f>
          </x14:formula1>
          <xm:sqref>Y2:Y29</xm:sqref>
        </x14:dataValidation>
        <x14:dataValidation type="list" allowBlank="1" showInputMessage="1" showErrorMessage="1" xr:uid="{88C207B9-D164-40D4-B646-7D4D5CAECA90}">
          <x14:formula1>
            <xm:f>Paràmetres!$A:$A</xm:f>
          </x14:formula1>
          <xm:sqref>X1:X1048576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890A-71AA-4F82-9198-EA1D9F9DBF5D}">
  <sheetPr codeName="Full6"/>
  <dimension ref="A1:K23"/>
  <sheetViews>
    <sheetView workbookViewId="0">
      <selection activeCell="D24" sqref="D24"/>
    </sheetView>
  </sheetViews>
  <sheetFormatPr defaultColWidth="53.90625" defaultRowHeight="14.5" x14ac:dyDescent="0.35"/>
  <cols>
    <col min="1" max="1" width="40" style="14" bestFit="1" customWidth="1"/>
    <col min="2" max="2" width="27.90625" style="14" bestFit="1" customWidth="1"/>
    <col min="3" max="3" width="32.453125" style="14" bestFit="1" customWidth="1"/>
    <col min="4" max="4" width="10.90625" style="15" bestFit="1" customWidth="1"/>
    <col min="5" max="5" width="51.36328125" style="12" customWidth="1"/>
    <col min="6" max="6" width="11.6328125" style="12" bestFit="1" customWidth="1"/>
    <col min="7" max="7" width="13.36328125" style="12" bestFit="1" customWidth="1"/>
    <col min="8" max="8" width="10.81640625" style="12" bestFit="1" customWidth="1"/>
    <col min="9" max="9" width="34.54296875" style="12" bestFit="1" customWidth="1"/>
    <col min="10" max="10" width="9.36328125" style="14" bestFit="1" customWidth="1"/>
    <col min="11" max="11" width="13" style="14" bestFit="1" customWidth="1"/>
    <col min="12" max="16384" width="53.90625" style="14"/>
  </cols>
  <sheetData>
    <row r="1" spans="1:11" x14ac:dyDescent="0.35">
      <c r="A1" s="14" t="s">
        <v>20</v>
      </c>
      <c r="B1" s="14" t="s">
        <v>3</v>
      </c>
      <c r="C1" s="14" t="s">
        <v>4</v>
      </c>
      <c r="D1" s="15" t="s">
        <v>34</v>
      </c>
      <c r="E1" s="12" t="s">
        <v>6</v>
      </c>
      <c r="F1" s="12" t="s">
        <v>213</v>
      </c>
      <c r="G1" s="12" t="s">
        <v>214</v>
      </c>
      <c r="H1" s="12" t="s">
        <v>65</v>
      </c>
      <c r="I1" s="12" t="s">
        <v>5</v>
      </c>
      <c r="J1" s="14" t="s">
        <v>52</v>
      </c>
      <c r="K1" s="14" t="s">
        <v>60</v>
      </c>
    </row>
    <row r="2" spans="1:11" x14ac:dyDescent="0.35">
      <c r="A2" s="14" t="s">
        <v>367</v>
      </c>
      <c r="B2" s="14" t="s">
        <v>368</v>
      </c>
      <c r="C2" s="16" t="s">
        <v>369</v>
      </c>
      <c r="G2" s="13"/>
      <c r="H2" s="13"/>
      <c r="J2" s="14">
        <f>COUNTIF(Alumnes!AE:AE,Taula_Empreses[[#This Row],[Sense empresa]])</f>
        <v>0</v>
      </c>
      <c r="K2" s="14">
        <f>COUNTIF(Seguiment!C:C,Taula_Empreses[[#This Row],[Sense empresa]])</f>
        <v>4</v>
      </c>
    </row>
    <row r="3" spans="1:11" x14ac:dyDescent="0.35">
      <c r="A3" s="14" t="s">
        <v>370</v>
      </c>
      <c r="B3" s="14" t="s">
        <v>371</v>
      </c>
      <c r="C3" s="16" t="s">
        <v>372</v>
      </c>
      <c r="D3" s="33"/>
      <c r="J3" s="14">
        <f>COUNTIF(Alumnes!AE:AE,Taula_Empreses[[#This Row],[Sense empresa]])</f>
        <v>0</v>
      </c>
      <c r="K3" s="14">
        <f>COUNTIF(Seguiment!C:C,Taula_Empreses[[#This Row],[Sense empresa]])</f>
        <v>4</v>
      </c>
    </row>
    <row r="4" spans="1:11" x14ac:dyDescent="0.35">
      <c r="A4" s="14" t="s">
        <v>377</v>
      </c>
      <c r="B4" s="14" t="s">
        <v>374</v>
      </c>
      <c r="C4" s="16" t="s">
        <v>375</v>
      </c>
      <c r="D4" s="33">
        <v>695723022</v>
      </c>
      <c r="E4" s="12" t="s">
        <v>376</v>
      </c>
      <c r="J4" s="14">
        <f>COUNTIF(Alumnes!AE:AE,Taula_Empreses[[#This Row],[Sense empresa]])</f>
        <v>0</v>
      </c>
      <c r="K4" s="14">
        <f>COUNTIF(Seguiment!C:C,Taula_Empreses[[#This Row],[Sense empresa]])</f>
        <v>6</v>
      </c>
    </row>
    <row r="5" spans="1:11" x14ac:dyDescent="0.35">
      <c r="A5" s="14" t="s">
        <v>380</v>
      </c>
      <c r="B5" s="14" t="s">
        <v>378</v>
      </c>
      <c r="C5" s="16" t="s">
        <v>379</v>
      </c>
      <c r="D5" s="33"/>
      <c r="F5" s="12" t="s">
        <v>378</v>
      </c>
      <c r="G5" s="12" t="s">
        <v>379</v>
      </c>
      <c r="H5" s="12" t="s">
        <v>408</v>
      </c>
      <c r="J5" s="14">
        <f>COUNTIF(Alumnes!AE:AE,Taula_Empreses[[#This Row],[Sense empresa]])</f>
        <v>0</v>
      </c>
      <c r="K5" s="14">
        <f>COUNTIF(Seguiment!C:C,Taula_Empreses[[#This Row],[Sense empresa]])</f>
        <v>5</v>
      </c>
    </row>
    <row r="6" spans="1:11" x14ac:dyDescent="0.35">
      <c r="A6" s="14" t="s">
        <v>383</v>
      </c>
      <c r="B6" s="14" t="s">
        <v>384</v>
      </c>
      <c r="C6" s="16" t="s">
        <v>385</v>
      </c>
      <c r="D6" s="33" t="s">
        <v>386</v>
      </c>
      <c r="E6" s="12" t="s">
        <v>406</v>
      </c>
      <c r="J6" s="14">
        <f>COUNTIF(Alumnes!AE:AE,Taula_Empreses[[#This Row],[Sense empresa]])</f>
        <v>0</v>
      </c>
      <c r="K6" s="14">
        <f>COUNTIF(Seguiment!C:C,Taula_Empreses[[#This Row],[Sense empresa]])</f>
        <v>4</v>
      </c>
    </row>
    <row r="7" spans="1:11" x14ac:dyDescent="0.35">
      <c r="A7" s="14" t="s">
        <v>388</v>
      </c>
      <c r="B7" s="14" t="s">
        <v>387</v>
      </c>
      <c r="C7" s="16" t="s">
        <v>389</v>
      </c>
      <c r="D7" s="33" t="s">
        <v>390</v>
      </c>
      <c r="J7" s="14">
        <f>COUNTIF(Alumnes!AE:AE,Taula_Empreses[[#This Row],[Sense empresa]])</f>
        <v>0</v>
      </c>
      <c r="K7" s="14">
        <f>COUNTIF(Seguiment!C:C,Taula_Empreses[[#This Row],[Sense empresa]])</f>
        <v>2</v>
      </c>
    </row>
    <row r="8" spans="1:11" x14ac:dyDescent="0.35">
      <c r="A8" s="14" t="s">
        <v>394</v>
      </c>
      <c r="B8" s="14" t="s">
        <v>395</v>
      </c>
      <c r="C8" s="16" t="s">
        <v>396</v>
      </c>
      <c r="D8" s="33"/>
      <c r="J8" s="14">
        <f>COUNTIF(Alumnes!AE:AE,Taula_Empreses[[#This Row],[Sense empresa]])</f>
        <v>0</v>
      </c>
      <c r="K8" s="14">
        <f>COUNTIF(Seguiment!C:C,Taula_Empreses[[#This Row],[Sense empresa]])</f>
        <v>6</v>
      </c>
    </row>
    <row r="9" spans="1:11" x14ac:dyDescent="0.35">
      <c r="A9" s="14" t="s">
        <v>399</v>
      </c>
      <c r="B9" s="14" t="s">
        <v>401</v>
      </c>
      <c r="C9" s="16" t="s">
        <v>400</v>
      </c>
      <c r="D9" s="33">
        <v>667181688</v>
      </c>
      <c r="J9" s="14">
        <f>COUNTIF(Alumnes!AE:AE,Taula_Empreses[[#This Row],[Sense empresa]])</f>
        <v>0</v>
      </c>
      <c r="K9" s="14">
        <f>COUNTIF(Seguiment!C:C,Taula_Empreses[[#This Row],[Sense empresa]])</f>
        <v>0</v>
      </c>
    </row>
    <row r="10" spans="1:11" x14ac:dyDescent="0.35">
      <c r="A10" s="14" t="s">
        <v>402</v>
      </c>
      <c r="B10" s="14" t="s">
        <v>403</v>
      </c>
      <c r="C10" s="16" t="s">
        <v>404</v>
      </c>
      <c r="D10" s="33">
        <v>652934609</v>
      </c>
      <c r="E10" s="12" t="s">
        <v>405</v>
      </c>
      <c r="J10" s="14">
        <f>COUNTIF(Alumnes!AE:AE,Taula_Empreses[[#This Row],[Sense empresa]])</f>
        <v>0</v>
      </c>
      <c r="K10" s="14">
        <f>COUNTIF(Seguiment!C:C,Taula_Empreses[[#This Row],[Sense empresa]])</f>
        <v>6</v>
      </c>
    </row>
    <row r="11" spans="1:11" x14ac:dyDescent="0.35">
      <c r="A11" s="14" t="s">
        <v>407</v>
      </c>
      <c r="B11" s="14" t="s">
        <v>401</v>
      </c>
      <c r="C11" s="16" t="s">
        <v>400</v>
      </c>
      <c r="D11" s="33">
        <v>667181688</v>
      </c>
      <c r="E11" s="12" t="s">
        <v>239</v>
      </c>
      <c r="J11" s="14">
        <f>COUNTIF(Alumnes!AE:AE,Taula_Empreses[[#This Row],[Sense empresa]])</f>
        <v>0</v>
      </c>
      <c r="K11" s="14">
        <f>COUNTIF(Seguiment!C:C,Taula_Empreses[[#This Row],[Sense empresa]])</f>
        <v>4</v>
      </c>
    </row>
    <row r="12" spans="1:11" ht="29" x14ac:dyDescent="0.35">
      <c r="A12" s="14" t="s">
        <v>414</v>
      </c>
      <c r="B12" s="14" t="s">
        <v>415</v>
      </c>
      <c r="C12" s="16" t="s">
        <v>416</v>
      </c>
      <c r="D12" s="33">
        <v>651027070</v>
      </c>
      <c r="I12" s="13" t="s">
        <v>417</v>
      </c>
      <c r="J12" s="14">
        <f>COUNTIF(Alumnes!AE:AE,Taula_Empreses[[#This Row],[Sense empresa]])</f>
        <v>0</v>
      </c>
      <c r="K12" s="14">
        <f>COUNTIF(Seguiment!C:C,Taula_Empreses[[#This Row],[Sense empresa]])</f>
        <v>1</v>
      </c>
    </row>
    <row r="13" spans="1:11" x14ac:dyDescent="0.35">
      <c r="A13" s="14" t="s">
        <v>420</v>
      </c>
      <c r="B13" s="14" t="s">
        <v>419</v>
      </c>
      <c r="C13" s="16" t="s">
        <v>421</v>
      </c>
      <c r="D13" s="33" t="s">
        <v>422</v>
      </c>
      <c r="E13" s="12" t="s">
        <v>423</v>
      </c>
      <c r="J13" s="14">
        <f>COUNTIF(Alumnes!AE:AE,Taula_Empreses[[#This Row],[Sense empresa]])</f>
        <v>0</v>
      </c>
      <c r="K13" s="14">
        <f>COUNTIF(Seguiment!C:C,Taula_Empreses[[#This Row],[Sense empresa]])</f>
        <v>1</v>
      </c>
    </row>
    <row r="14" spans="1:11" x14ac:dyDescent="0.35">
      <c r="A14" s="14" t="s">
        <v>424</v>
      </c>
      <c r="B14" s="14" t="s">
        <v>425</v>
      </c>
      <c r="C14" s="16" t="s">
        <v>426</v>
      </c>
      <c r="D14" s="33">
        <v>934176400</v>
      </c>
      <c r="E14" s="12" t="s">
        <v>427</v>
      </c>
      <c r="J14" s="14">
        <f>COUNTIF(Alumnes!AE:AE,Taula_Empreses[[#This Row],[Sense empresa]])</f>
        <v>0</v>
      </c>
      <c r="K14" s="14">
        <f>COUNTIF(Seguiment!C:C,Taula_Empreses[[#This Row],[Sense empresa]])</f>
        <v>5</v>
      </c>
    </row>
    <row r="15" spans="1:11" x14ac:dyDescent="0.35">
      <c r="A15" s="14" t="s">
        <v>438</v>
      </c>
      <c r="B15" s="14" t="s">
        <v>439</v>
      </c>
      <c r="C15" s="16" t="s">
        <v>440</v>
      </c>
      <c r="D15" s="33" t="s">
        <v>441</v>
      </c>
      <c r="E15" s="12" t="s">
        <v>451</v>
      </c>
      <c r="J15" s="14">
        <f>COUNTIF(Alumnes!AE:AE,Taula_Empreses[[#This Row],[Sense empresa]])</f>
        <v>0</v>
      </c>
      <c r="K15" s="14">
        <f>COUNTIF(Seguiment!C:C,Taula_Empreses[[#This Row],[Sense empresa]])</f>
        <v>5</v>
      </c>
    </row>
    <row r="16" spans="1:11" x14ac:dyDescent="0.35">
      <c r="A16" s="14" t="s">
        <v>443</v>
      </c>
      <c r="B16" s="14" t="s">
        <v>444</v>
      </c>
      <c r="C16" s="16" t="s">
        <v>445</v>
      </c>
      <c r="D16" s="33" t="s">
        <v>447</v>
      </c>
      <c r="E16" s="12" t="s">
        <v>446</v>
      </c>
      <c r="J16" s="14">
        <f>COUNTIF(Alumnes!AE:AE,Taula_Empreses[[#This Row],[Sense empresa]])</f>
        <v>0</v>
      </c>
      <c r="K16" s="14">
        <f>COUNTIF(Seguiment!C:C,Taula_Empreses[[#This Row],[Sense empresa]])</f>
        <v>7</v>
      </c>
    </row>
    <row r="17" spans="1:11" x14ac:dyDescent="0.35">
      <c r="A17" s="14" t="s">
        <v>448</v>
      </c>
      <c r="B17" s="14" t="s">
        <v>450</v>
      </c>
      <c r="C17" s="16" t="s">
        <v>449</v>
      </c>
      <c r="D17" s="33"/>
      <c r="F17" s="13"/>
      <c r="J17" s="14">
        <f>COUNTIF(Alumnes!AE:AE,Taula_Empreses[[#This Row],[Sense empresa]])</f>
        <v>0</v>
      </c>
      <c r="K17" s="14">
        <f>COUNTIF(Seguiment!C:C,Taula_Empreses[[#This Row],[Sense empresa]])</f>
        <v>8</v>
      </c>
    </row>
    <row r="18" spans="1:11" x14ac:dyDescent="0.35">
      <c r="A18" s="14" t="s">
        <v>452</v>
      </c>
      <c r="B18" s="14" t="s">
        <v>453</v>
      </c>
      <c r="C18" s="16" t="s">
        <v>454</v>
      </c>
      <c r="D18" s="33"/>
      <c r="J18" s="14">
        <f>COUNTIF(Alumnes!AE:AE,Taula_Empreses[[#This Row],[Sense empresa]])</f>
        <v>0</v>
      </c>
      <c r="K18" s="14">
        <f>COUNTIF(Seguiment!C:C,Taula_Empreses[[#This Row],[Sense empresa]])</f>
        <v>4</v>
      </c>
    </row>
    <row r="19" spans="1:11" x14ac:dyDescent="0.35">
      <c r="A19" s="14" t="s">
        <v>455</v>
      </c>
      <c r="B19" s="14" t="s">
        <v>456</v>
      </c>
      <c r="C19" s="16" t="s">
        <v>457</v>
      </c>
      <c r="D19" s="33" t="s">
        <v>458</v>
      </c>
      <c r="J19" s="14">
        <f>COUNTIF(Alumnes!AE:AE,Taula_Empreses[[#This Row],[Sense empresa]])</f>
        <v>0</v>
      </c>
      <c r="K19" s="14">
        <f>COUNTIF(Seguiment!C:C,Taula_Empreses[[#This Row],[Sense empresa]])</f>
        <v>7</v>
      </c>
    </row>
    <row r="20" spans="1:11" x14ac:dyDescent="0.35">
      <c r="A20" s="14" t="s">
        <v>465</v>
      </c>
      <c r="B20" s="14" t="s">
        <v>466</v>
      </c>
      <c r="C20" s="16" t="s">
        <v>467</v>
      </c>
      <c r="D20" s="33" t="s">
        <v>468</v>
      </c>
      <c r="J20" s="14">
        <f>COUNTIF(Alumnes!AE:AE,Taula_Empreses[[#This Row],[Sense empresa]])</f>
        <v>0</v>
      </c>
      <c r="K20" s="14">
        <f>COUNTIF(Seguiment!C:C,Taula_Empreses[[#This Row],[Sense empresa]])</f>
        <v>7</v>
      </c>
    </row>
    <row r="21" spans="1:11" x14ac:dyDescent="0.35">
      <c r="A21" s="14" t="s">
        <v>443</v>
      </c>
      <c r="B21" s="14" t="s">
        <v>444</v>
      </c>
      <c r="C21" s="16" t="s">
        <v>445</v>
      </c>
      <c r="D21" s="33"/>
      <c r="J21" s="14">
        <f>COUNTIF(Alumnes!AE:AE,Taula_Empreses[[#This Row],[Sense empresa]])</f>
        <v>0</v>
      </c>
      <c r="K21" s="14">
        <f>COUNTIF(Seguiment!C:C,Taula_Empreses[[#This Row],[Sense empresa]])</f>
        <v>7</v>
      </c>
    </row>
    <row r="22" spans="1:11" x14ac:dyDescent="0.35">
      <c r="A22" s="14" t="s">
        <v>472</v>
      </c>
      <c r="B22" s="14" t="s">
        <v>473</v>
      </c>
      <c r="C22" s="16" t="s">
        <v>474</v>
      </c>
      <c r="D22" s="33">
        <v>618247848</v>
      </c>
      <c r="J22" s="14">
        <f>COUNTIF(Alumnes!AE:AE,Taula_Empreses[[#This Row],[Sense empresa]])</f>
        <v>0</v>
      </c>
      <c r="K22" s="14">
        <f>COUNTIF(Seguiment!C:C,Taula_Empreses[[#This Row],[Sense empresa]])</f>
        <v>4</v>
      </c>
    </row>
    <row r="23" spans="1:11" x14ac:dyDescent="0.35">
      <c r="A23" s="14" t="s">
        <v>478</v>
      </c>
      <c r="B23" s="14" t="s">
        <v>479</v>
      </c>
      <c r="C23" s="16" t="s">
        <v>477</v>
      </c>
      <c r="D23" s="33">
        <v>931600006</v>
      </c>
      <c r="J23" s="14">
        <f>COUNTIF(Alumnes!AE:AE,Taula_Empreses[[#This Row],[Sense empresa]])</f>
        <v>0</v>
      </c>
      <c r="K23" s="14">
        <f>COUNTIF(Seguiment!C:C,Taula_Empreses[[#This Row],[Sense empresa]])</f>
        <v>2</v>
      </c>
    </row>
  </sheetData>
  <hyperlinks>
    <hyperlink ref="C2" r:id="rId1" xr:uid="{0F5737F3-29BD-45B2-90A7-FEB498BC7A2F}"/>
    <hyperlink ref="C3" r:id="rId2" xr:uid="{1783DD1F-E49A-408B-A854-670645174EA7}"/>
    <hyperlink ref="C12" r:id="rId3" xr:uid="{64C2677C-18BA-4583-BE56-85023074F071}"/>
    <hyperlink ref="C11" r:id="rId4" xr:uid="{3957BCF8-AD9E-4B02-8D79-22764B01ED64}"/>
    <hyperlink ref="C15" r:id="rId5" xr:uid="{5673BD4B-B203-4EF3-B87C-A7786CA05FC0}"/>
    <hyperlink ref="C17" r:id="rId6" xr:uid="{638624C7-06A7-469F-A914-4447B41A8338}"/>
    <hyperlink ref="C23" r:id="rId7" xr:uid="{6195B774-8BD2-4078-90AB-F45BE3AF131D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1906-02C4-4B08-9551-BF13568158A5}">
  <sheetPr codeName="Full3"/>
  <dimension ref="A1:K93"/>
  <sheetViews>
    <sheetView workbookViewId="0">
      <selection activeCell="E94" sqref="E94"/>
    </sheetView>
  </sheetViews>
  <sheetFormatPr defaultColWidth="13.36328125" defaultRowHeight="14.5" x14ac:dyDescent="0.35"/>
  <cols>
    <col min="1" max="1" width="13.36328125" style="40"/>
    <col min="2" max="2" width="31.7265625" style="34" bestFit="1" customWidth="1"/>
    <col min="3" max="3" width="54.90625" style="34" bestFit="1" customWidth="1"/>
    <col min="4" max="4" width="44.08984375" style="34" customWidth="1"/>
    <col min="5" max="5" width="47.36328125" style="34" customWidth="1"/>
    <col min="6" max="8" width="27.08984375" style="34" hidden="1" customWidth="1"/>
    <col min="9" max="9" width="45.08984375" style="34" customWidth="1"/>
    <col min="10" max="10" width="19.36328125" style="34" bestFit="1" customWidth="1"/>
    <col min="11" max="11" width="19.90625" style="34" bestFit="1" customWidth="1"/>
    <col min="12" max="16384" width="13.36328125" style="34"/>
  </cols>
  <sheetData>
    <row r="1" spans="1:11" x14ac:dyDescent="0.35">
      <c r="A1" s="40" t="s">
        <v>56</v>
      </c>
      <c r="B1" s="34" t="s">
        <v>57</v>
      </c>
      <c r="C1" s="34" t="s">
        <v>9</v>
      </c>
      <c r="D1" s="34" t="s">
        <v>58</v>
      </c>
      <c r="E1" s="34" t="s">
        <v>67</v>
      </c>
      <c r="F1" s="34" t="s">
        <v>202</v>
      </c>
      <c r="G1" s="34" t="s">
        <v>203</v>
      </c>
      <c r="H1" s="34" t="s">
        <v>459</v>
      </c>
      <c r="I1" s="34" t="s">
        <v>61</v>
      </c>
      <c r="J1" s="34" t="s">
        <v>63</v>
      </c>
      <c r="K1" s="34" t="s">
        <v>68</v>
      </c>
    </row>
    <row r="2" spans="1:11" hidden="1" x14ac:dyDescent="0.35">
      <c r="A2" s="40">
        <v>46070</v>
      </c>
      <c r="B2" s="34" t="s">
        <v>101</v>
      </c>
      <c r="C2" s="34" t="s">
        <v>367</v>
      </c>
      <c r="D2" s="34" t="s">
        <v>202</v>
      </c>
      <c r="E2" s="41"/>
      <c r="F2" s="34" t="str">
        <f>IF(Taula_Seguiment[[#This Row],[Comentari]]=F$1,Taula_Seguiment[[#This Row],[Alumne]],"")</f>
        <v>Espejo Martínez, Ivan</v>
      </c>
      <c r="G2" s="34" t="str">
        <f>IF(Taula_Seguiment[[#This Row],[Comentari]]=G$1,Taula_Seguiment[[#This Row],[Alumne]],"")</f>
        <v/>
      </c>
      <c r="H2" s="34" t="str">
        <f>IF(Taula_Seguiment[[#This Row],[Comentari]]=H$1,Taula_Seguiment[[#This Row],[Alumne]],"")</f>
        <v/>
      </c>
      <c r="I2" s="34" t="str">
        <f>IF(Taula_Seguiment[[#This Row],[Empresa]]="","",_xlfn.CONCAT(Taula_Seguiment[[#This Row],[Empresa]]," (",TEXT(Taula_Seguiment[[#This Row],[Data]],"dd/mm/aaaa"),")"))</f>
        <v>TOBEIT SL (17/02/2026)</v>
      </c>
      <c r="J2" s="34">
        <f>IFERROR(VLOOKUP(Taula_Seguiment[[#This Row],[Alumne]],Alumnes!E:AE,18,FALSE),"")</f>
        <v>0</v>
      </c>
      <c r="K2" s="34" t="str">
        <f>IFERROR(VLOOKUP(Taula_Seguiment[[#This Row],[Alumne]],Alumnes!E:AE,19,FALSE),"")</f>
        <v>Dual int.</v>
      </c>
    </row>
    <row r="3" spans="1:11" hidden="1" x14ac:dyDescent="0.35">
      <c r="A3" s="40">
        <v>46070</v>
      </c>
      <c r="B3" s="34" t="s">
        <v>135</v>
      </c>
      <c r="C3" s="34" t="s">
        <v>367</v>
      </c>
      <c r="D3" s="34" t="s">
        <v>202</v>
      </c>
      <c r="E3" s="41"/>
      <c r="F3" s="34" t="str">
        <f>IF(Taula_Seguiment[[#This Row],[Comentari]]=F$1,Taula_Seguiment[[#This Row],[Alumne]],"")</f>
        <v>Rodríguez González, Mario</v>
      </c>
      <c r="G3" s="34" t="str">
        <f>IF(Taula_Seguiment[[#This Row],[Comentari]]=G$1,Taula_Seguiment[[#This Row],[Alumne]],"")</f>
        <v/>
      </c>
      <c r="H3" s="34" t="str">
        <f>IF(Taula_Seguiment[[#This Row],[Comentari]]=H$1,Taula_Seguiment[[#This Row],[Alumne]],"")</f>
        <v/>
      </c>
      <c r="I3" s="34" t="str">
        <f>IF(Taula_Seguiment[[#This Row],[Empresa]]="","",_xlfn.CONCAT(Taula_Seguiment[[#This Row],[Empresa]]," (",TEXT(Taula_Seguiment[[#This Row],[Data]],"dd/mm/aaaa"),")"))</f>
        <v>TOBEIT SL (17/02/2026)</v>
      </c>
      <c r="J3" s="34">
        <f>IFERROR(VLOOKUP(Taula_Seguiment[[#This Row],[Alumne]],Alumnes!E:AE,18,FALSE),"")</f>
        <v>0</v>
      </c>
      <c r="K3" s="34" t="str">
        <f>IFERROR(VLOOKUP(Taula_Seguiment[[#This Row],[Alumne]],Alumnes!E:AE,19,FALSE),"")</f>
        <v>Dual int.</v>
      </c>
    </row>
    <row r="4" spans="1:11" hidden="1" x14ac:dyDescent="0.35">
      <c r="A4" s="40">
        <v>46071</v>
      </c>
      <c r="C4" s="34" t="s">
        <v>370</v>
      </c>
      <c r="D4" s="34" t="s">
        <v>208</v>
      </c>
      <c r="E4" s="41"/>
      <c r="F4" s="34" t="str">
        <f>IF(Taula_Seguiment[[#This Row],[Comentari]]=F$1,Taula_Seguiment[[#This Row],[Alumne]],"")</f>
        <v/>
      </c>
      <c r="G4" s="34" t="str">
        <f>IF(Taula_Seguiment[[#This Row],[Comentari]]=G$1,Taula_Seguiment[[#This Row],[Alumne]],"")</f>
        <v/>
      </c>
      <c r="H4" s="34" t="str">
        <f>IF(Taula_Seguiment[[#This Row],[Comentari]]=H$1,Taula_Seguiment[[#This Row],[Alumne]],"")</f>
        <v/>
      </c>
      <c r="I4" s="34" t="str">
        <f>IF(Taula_Seguiment[[#This Row],[Empresa]]="","",_xlfn.CONCAT(Taula_Seguiment[[#This Row],[Empresa]]," (",TEXT(Taula_Seguiment[[#This Row],[Data]],"dd/mm/aaaa"),")"))</f>
        <v>Sidogras y Flex Internacional (18/02/2026)</v>
      </c>
      <c r="J4" s="34" t="str">
        <f>IFERROR(VLOOKUP(Taula_Seguiment[[#This Row],[Alumne]],Alumnes!E:AE,18,FALSE),"")</f>
        <v/>
      </c>
      <c r="K4" s="34" t="str">
        <f>IFERROR(VLOOKUP(Taula_Seguiment[[#This Row],[Alumne]],Alumnes!E:AE,19,FALSE),"")</f>
        <v/>
      </c>
    </row>
    <row r="5" spans="1:11" hidden="1" x14ac:dyDescent="0.35">
      <c r="A5" s="40">
        <v>46071</v>
      </c>
      <c r="C5" s="34" t="s">
        <v>370</v>
      </c>
      <c r="D5" s="34" t="s">
        <v>5</v>
      </c>
      <c r="E5" s="41" t="s">
        <v>373</v>
      </c>
      <c r="F5" s="34" t="str">
        <f>IF(Taula_Seguiment[[#This Row],[Comentari]]=F$1,Taula_Seguiment[[#This Row],[Alumne]],"")</f>
        <v/>
      </c>
      <c r="G5" s="34" t="str">
        <f>IF(Taula_Seguiment[[#This Row],[Comentari]]=G$1,Taula_Seguiment[[#This Row],[Alumne]],"")</f>
        <v/>
      </c>
      <c r="H5" s="34" t="str">
        <f>IF(Taula_Seguiment[[#This Row],[Comentari]]=H$1,Taula_Seguiment[[#This Row],[Alumne]],"")</f>
        <v/>
      </c>
      <c r="I5" s="34" t="str">
        <f>IF(Taula_Seguiment[[#This Row],[Empresa]]="","",_xlfn.CONCAT(Taula_Seguiment[[#This Row],[Empresa]]," (",TEXT(Taula_Seguiment[[#This Row],[Data]],"dd/mm/aaaa"),")"))</f>
        <v>Sidogras y Flex Internacional (18/02/2026)</v>
      </c>
      <c r="J5" s="34" t="str">
        <f>IFERROR(VLOOKUP(Taula_Seguiment[[#This Row],[Alumne]],Alumnes!E:AE,18,FALSE),"")</f>
        <v/>
      </c>
      <c r="K5" s="34" t="str">
        <f>IFERROR(VLOOKUP(Taula_Seguiment[[#This Row],[Alumne]],Alumnes!E:AE,19,FALSE),"")</f>
        <v/>
      </c>
    </row>
    <row r="6" spans="1:11" hidden="1" x14ac:dyDescent="0.35">
      <c r="A6" s="40">
        <v>46071</v>
      </c>
      <c r="B6" s="34" t="s">
        <v>116</v>
      </c>
      <c r="C6" s="34" t="s">
        <v>370</v>
      </c>
      <c r="D6" s="34" t="s">
        <v>202</v>
      </c>
      <c r="E6" s="41"/>
      <c r="F6" s="34" t="str">
        <f>IF(Taula_Seguiment[[#This Row],[Comentari]]=F$1,Taula_Seguiment[[#This Row],[Alumne]],"")</f>
        <v>Jurado Borrell, Hugo</v>
      </c>
      <c r="G6" s="34" t="str">
        <f>IF(Taula_Seguiment[[#This Row],[Comentari]]=G$1,Taula_Seguiment[[#This Row],[Alumne]],"")</f>
        <v/>
      </c>
      <c r="H6" s="34" t="str">
        <f>IF(Taula_Seguiment[[#This Row],[Comentari]]=H$1,Taula_Seguiment[[#This Row],[Alumne]],"")</f>
        <v/>
      </c>
      <c r="I6" s="34" t="str">
        <f>IF(Taula_Seguiment[[#This Row],[Empresa]]="","",_xlfn.CONCAT(Taula_Seguiment[[#This Row],[Empresa]]," (",TEXT(Taula_Seguiment[[#This Row],[Data]],"dd/mm/aaaa"),")"))</f>
        <v>Sidogras y Flex Internacional (18/02/2026)</v>
      </c>
      <c r="J6" s="34">
        <f>IFERROR(VLOOKUP(Taula_Seguiment[[#This Row],[Alumne]],Alumnes!E:AE,18,FALSE),"")</f>
        <v>0</v>
      </c>
      <c r="K6" s="34" t="str">
        <f>IFERROR(VLOOKUP(Taula_Seguiment[[#This Row],[Alumne]],Alumnes!E:AE,19,FALSE),"")</f>
        <v>Dual int.</v>
      </c>
    </row>
    <row r="7" spans="1:11" hidden="1" x14ac:dyDescent="0.35">
      <c r="A7" s="40">
        <v>46072</v>
      </c>
      <c r="C7" s="34" t="s">
        <v>377</v>
      </c>
      <c r="D7" s="34" t="s">
        <v>208</v>
      </c>
      <c r="E7" s="41"/>
      <c r="F7" s="34" t="str">
        <f>IF(Taula_Seguiment[[#This Row],[Comentari]]=F$1,Taula_Seguiment[[#This Row],[Alumne]],"")</f>
        <v/>
      </c>
      <c r="G7" s="34" t="str">
        <f>IF(Taula_Seguiment[[#This Row],[Comentari]]=G$1,Taula_Seguiment[[#This Row],[Alumne]],"")</f>
        <v/>
      </c>
      <c r="H7" s="34" t="str">
        <f>IF(Taula_Seguiment[[#This Row],[Comentari]]=H$1,Taula_Seguiment[[#This Row],[Alumne]],"")</f>
        <v/>
      </c>
      <c r="I7" s="34" t="str">
        <f>IF(Taula_Seguiment[[#This Row],[Empresa]]="","",_xlfn.CONCAT(Taula_Seguiment[[#This Row],[Empresa]]," (",TEXT(Taula_Seguiment[[#This Row],[Data]],"dd/mm/aaaa"),")"))</f>
        <v>OUA Gestió del Territori i Urbanisme S. L. (19/02/2026)</v>
      </c>
      <c r="J7" s="34" t="str">
        <f>IFERROR(VLOOKUP(Taula_Seguiment[[#This Row],[Alumne]],Alumnes!E:AE,18,FALSE),"")</f>
        <v/>
      </c>
      <c r="K7" s="34" t="str">
        <f>IFERROR(VLOOKUP(Taula_Seguiment[[#This Row],[Alumne]],Alumnes!E:AE,19,FALSE),"")</f>
        <v/>
      </c>
    </row>
    <row r="8" spans="1:11" hidden="1" x14ac:dyDescent="0.35">
      <c r="A8" s="40">
        <v>46072</v>
      </c>
      <c r="C8" s="34" t="s">
        <v>377</v>
      </c>
      <c r="D8" s="34" t="s">
        <v>5</v>
      </c>
      <c r="E8" s="41" t="s">
        <v>373</v>
      </c>
      <c r="F8" s="34" t="str">
        <f>IF(Taula_Seguiment[[#This Row],[Comentari]]=F$1,Taula_Seguiment[[#This Row],[Alumne]],"")</f>
        <v/>
      </c>
      <c r="G8" s="34" t="str">
        <f>IF(Taula_Seguiment[[#This Row],[Comentari]]=G$1,Taula_Seguiment[[#This Row],[Alumne]],"")</f>
        <v/>
      </c>
      <c r="H8" s="34" t="str">
        <f>IF(Taula_Seguiment[[#This Row],[Comentari]]=H$1,Taula_Seguiment[[#This Row],[Alumne]],"")</f>
        <v/>
      </c>
      <c r="I8" s="34" t="str">
        <f>IF(Taula_Seguiment[[#This Row],[Empresa]]="","",_xlfn.CONCAT(Taula_Seguiment[[#This Row],[Empresa]]," (",TEXT(Taula_Seguiment[[#This Row],[Data]],"dd/mm/aaaa"),")"))</f>
        <v>OUA Gestió del Territori i Urbanisme S. L. (19/02/2026)</v>
      </c>
      <c r="J8" s="34" t="str">
        <f>IFERROR(VLOOKUP(Taula_Seguiment[[#This Row],[Alumne]],Alumnes!E:AE,18,FALSE),"")</f>
        <v/>
      </c>
      <c r="K8" s="34" t="str">
        <f>IFERROR(VLOOKUP(Taula_Seguiment[[#This Row],[Alumne]],Alumnes!E:AE,19,FALSE),"")</f>
        <v/>
      </c>
    </row>
    <row r="9" spans="1:11" x14ac:dyDescent="0.35">
      <c r="A9" s="40">
        <v>46076</v>
      </c>
      <c r="B9" s="34" t="s">
        <v>79</v>
      </c>
      <c r="C9" s="34" t="s">
        <v>380</v>
      </c>
      <c r="D9" s="34" t="s">
        <v>202</v>
      </c>
      <c r="E9" s="41"/>
      <c r="F9" s="34" t="str">
        <f>IF(Taula_Seguiment[[#This Row],[Comentari]]=F$1,Taula_Seguiment[[#This Row],[Alumne]],"")</f>
        <v>Benítes Zambrano, David</v>
      </c>
      <c r="G9" s="34" t="str">
        <f>IF(Taula_Seguiment[[#This Row],[Comentari]]=G$1,Taula_Seguiment[[#This Row],[Alumne]],"")</f>
        <v/>
      </c>
      <c r="H9" s="34" t="str">
        <f>IF(Taula_Seguiment[[#This Row],[Comentari]]=H$1,Taula_Seguiment[[#This Row],[Alumne]],"")</f>
        <v/>
      </c>
      <c r="I9" s="34" t="str">
        <f>IF(Taula_Seguiment[[#This Row],[Empresa]]="","",_xlfn.CONCAT(Taula_Seguiment[[#This Row],[Empresa]]," (",TEXT(Taula_Seguiment[[#This Row],[Data]],"dd/mm/aaaa"),")"))</f>
        <v>DST - Deisoltec (23/02/2026)</v>
      </c>
      <c r="J9" s="34">
        <f>IFERROR(VLOOKUP(Taula_Seguiment[[#This Row],[Alumne]],Alumnes!E:AE,18,FALSE),"")</f>
        <v>0</v>
      </c>
      <c r="K9" s="34" t="str">
        <f>IFERROR(VLOOKUP(Taula_Seguiment[[#This Row],[Alumne]],Alumnes!E:AE,19,FALSE),"")</f>
        <v>Dual int.</v>
      </c>
    </row>
    <row r="10" spans="1:11" hidden="1" x14ac:dyDescent="0.35">
      <c r="A10" s="40">
        <v>46076</v>
      </c>
      <c r="B10" s="34" t="s">
        <v>75</v>
      </c>
      <c r="C10" s="34" t="s">
        <v>380</v>
      </c>
      <c r="D10" s="34" t="s">
        <v>202</v>
      </c>
      <c r="E10" s="41"/>
      <c r="F10" s="34" t="str">
        <f>IF(Taula_Seguiment[[#This Row],[Comentari]]=F$1,Taula_Seguiment[[#This Row],[Alumne]],"")</f>
        <v>Almendros García, Javier</v>
      </c>
      <c r="G10" s="34" t="str">
        <f>IF(Taula_Seguiment[[#This Row],[Comentari]]=G$1,Taula_Seguiment[[#This Row],[Alumne]],"")</f>
        <v/>
      </c>
      <c r="H10" s="34" t="str">
        <f>IF(Taula_Seguiment[[#This Row],[Comentari]]=H$1,Taula_Seguiment[[#This Row],[Alumne]],"")</f>
        <v/>
      </c>
      <c r="I10" s="34" t="str">
        <f>IF(Taula_Seguiment[[#This Row],[Empresa]]="","",_xlfn.CONCAT(Taula_Seguiment[[#This Row],[Empresa]]," (",TEXT(Taula_Seguiment[[#This Row],[Data]],"dd/mm/aaaa"),")"))</f>
        <v>DST - Deisoltec (23/02/2026)</v>
      </c>
      <c r="J10" s="34">
        <f>IFERROR(VLOOKUP(Taula_Seguiment[[#This Row],[Alumne]],Alumnes!E:AE,18,FALSE),"")</f>
        <v>0</v>
      </c>
      <c r="K10" s="34" t="str">
        <f>IFERROR(VLOOKUP(Taula_Seguiment[[#This Row],[Alumne]],Alumnes!E:AE,19,FALSE),"")</f>
        <v>Dual int.</v>
      </c>
    </row>
    <row r="11" spans="1:11" x14ac:dyDescent="0.35">
      <c r="A11" s="40">
        <v>46078</v>
      </c>
      <c r="B11" s="34" t="s">
        <v>79</v>
      </c>
      <c r="C11" s="34" t="s">
        <v>380</v>
      </c>
      <c r="D11" s="34" t="s">
        <v>203</v>
      </c>
      <c r="E11" s="41"/>
      <c r="F11" s="34" t="str">
        <f>IF(Taula_Seguiment[[#This Row],[Comentari]]=F$1,Taula_Seguiment[[#This Row],[Alumne]],"")</f>
        <v/>
      </c>
      <c r="G11" s="34" t="str">
        <f>IF(Taula_Seguiment[[#This Row],[Comentari]]=G$1,Taula_Seguiment[[#This Row],[Alumne]],"")</f>
        <v>Benítes Zambrano, David</v>
      </c>
      <c r="H11" s="34" t="str">
        <f>IF(Taula_Seguiment[[#This Row],[Comentari]]=H$1,Taula_Seguiment[[#This Row],[Alumne]],"")</f>
        <v/>
      </c>
      <c r="I11" s="34" t="str">
        <f>IF(Taula_Seguiment[[#This Row],[Empresa]]="","",_xlfn.CONCAT(Taula_Seguiment[[#This Row],[Empresa]]," (",TEXT(Taula_Seguiment[[#This Row],[Data]],"dd/mm/aaaa"),")"))</f>
        <v>DST - Deisoltec (25/02/2026)</v>
      </c>
      <c r="J11" s="34">
        <f>IFERROR(VLOOKUP(Taula_Seguiment[[#This Row],[Alumne]],Alumnes!E:AE,18,FALSE),"")</f>
        <v>0</v>
      </c>
      <c r="K11" s="34" t="str">
        <f>IFERROR(VLOOKUP(Taula_Seguiment[[#This Row],[Alumne]],Alumnes!E:AE,19,FALSE),"")</f>
        <v>Dual int.</v>
      </c>
    </row>
    <row r="12" spans="1:11" x14ac:dyDescent="0.35">
      <c r="A12" s="40">
        <v>46078</v>
      </c>
      <c r="B12" s="34" t="s">
        <v>79</v>
      </c>
      <c r="C12" s="34" t="s">
        <v>377</v>
      </c>
      <c r="D12" s="34" t="s">
        <v>202</v>
      </c>
      <c r="E12" s="41"/>
      <c r="F12" s="34" t="str">
        <f>IF(Taula_Seguiment[[#This Row],[Comentari]]=F$1,Taula_Seguiment[[#This Row],[Alumne]],"")</f>
        <v>Benítes Zambrano, David</v>
      </c>
      <c r="G12" s="34" t="str">
        <f>IF(Taula_Seguiment[[#This Row],[Comentari]]=G$1,Taula_Seguiment[[#This Row],[Alumne]],"")</f>
        <v/>
      </c>
      <c r="H12" s="34" t="str">
        <f>IF(Taula_Seguiment[[#This Row],[Comentari]]=H$1,Taula_Seguiment[[#This Row],[Alumne]],"")</f>
        <v/>
      </c>
      <c r="I12" s="34" t="str">
        <f>IF(Taula_Seguiment[[#This Row],[Empresa]]="","",_xlfn.CONCAT(Taula_Seguiment[[#This Row],[Empresa]]," (",TEXT(Taula_Seguiment[[#This Row],[Data]],"dd/mm/aaaa"),")"))</f>
        <v>OUA Gestió del Territori i Urbanisme S. L. (25/02/2026)</v>
      </c>
      <c r="J12" s="34">
        <f>IFERROR(VLOOKUP(Taula_Seguiment[[#This Row],[Alumne]],Alumnes!E:AE,18,FALSE),"")</f>
        <v>0</v>
      </c>
      <c r="K12" s="34" t="str">
        <f>IFERROR(VLOOKUP(Taula_Seguiment[[#This Row],[Alumne]],Alumnes!E:AE,19,FALSE),"")</f>
        <v>Dual int.</v>
      </c>
    </row>
    <row r="13" spans="1:11" hidden="1" x14ac:dyDescent="0.35">
      <c r="A13" s="40">
        <v>46078</v>
      </c>
      <c r="B13" s="34" t="s">
        <v>106</v>
      </c>
      <c r="C13" s="34" t="s">
        <v>377</v>
      </c>
      <c r="D13" s="34" t="s">
        <v>202</v>
      </c>
      <c r="E13" s="41"/>
      <c r="F13" s="34" t="str">
        <f>IF(Taula_Seguiment[[#This Row],[Comentari]]=F$1,Taula_Seguiment[[#This Row],[Alumne]],"")</f>
        <v>Fernandes Teixeira, Sebastian Samuel</v>
      </c>
      <c r="G13" s="34" t="str">
        <f>IF(Taula_Seguiment[[#This Row],[Comentari]]=G$1,Taula_Seguiment[[#This Row],[Alumne]],"")</f>
        <v/>
      </c>
      <c r="H13" s="34" t="str">
        <f>IF(Taula_Seguiment[[#This Row],[Comentari]]=H$1,Taula_Seguiment[[#This Row],[Alumne]],"")</f>
        <v/>
      </c>
      <c r="I13" s="34" t="str">
        <f>IF(Taula_Seguiment[[#This Row],[Empresa]]="","",_xlfn.CONCAT(Taula_Seguiment[[#This Row],[Empresa]]," (",TEXT(Taula_Seguiment[[#This Row],[Data]],"dd/mm/aaaa"),")"))</f>
        <v>OUA Gestió del Territori i Urbanisme S. L. (25/02/2026)</v>
      </c>
      <c r="J13" s="34">
        <f>IFERROR(VLOOKUP(Taula_Seguiment[[#This Row],[Alumne]],Alumnes!E:AE,18,FALSE),"")</f>
        <v>0</v>
      </c>
      <c r="K13" s="34" t="str">
        <f>IFERROR(VLOOKUP(Taula_Seguiment[[#This Row],[Alumne]],Alumnes!E:AE,19,FALSE),"")</f>
        <v>Dual int.</v>
      </c>
    </row>
    <row r="14" spans="1:11" hidden="1" x14ac:dyDescent="0.35">
      <c r="A14" s="40">
        <v>46078</v>
      </c>
      <c r="C14" s="34" t="s">
        <v>383</v>
      </c>
      <c r="D14" s="34" t="s">
        <v>208</v>
      </c>
      <c r="E14" s="41"/>
      <c r="F14" s="34" t="str">
        <f>IF(Taula_Seguiment[[#This Row],[Comentari]]=F$1,Taula_Seguiment[[#This Row],[Alumne]],"")</f>
        <v/>
      </c>
      <c r="G14" s="34" t="str">
        <f>IF(Taula_Seguiment[[#This Row],[Comentari]]=G$1,Taula_Seguiment[[#This Row],[Alumne]],"")</f>
        <v/>
      </c>
      <c r="H14" s="34" t="str">
        <f>IF(Taula_Seguiment[[#This Row],[Comentari]]=H$1,Taula_Seguiment[[#This Row],[Alumne]],"")</f>
        <v/>
      </c>
      <c r="I14" s="34" t="str">
        <f>IF(Taula_Seguiment[[#This Row],[Empresa]]="","",_xlfn.CONCAT(Taula_Seguiment[[#This Row],[Empresa]]," (",TEXT(Taula_Seguiment[[#This Row],[Data]],"dd/mm/aaaa"),")"))</f>
        <v>Plural Informática (25/02/2026)</v>
      </c>
      <c r="J14" s="34" t="str">
        <f>IFERROR(VLOOKUP(Taula_Seguiment[[#This Row],[Alumne]],Alumnes!E:AE,18,FALSE),"")</f>
        <v/>
      </c>
      <c r="K14" s="34" t="str">
        <f>IFERROR(VLOOKUP(Taula_Seguiment[[#This Row],[Alumne]],Alumnes!E:AE,19,FALSE),"")</f>
        <v/>
      </c>
    </row>
    <row r="15" spans="1:11" hidden="1" x14ac:dyDescent="0.35">
      <c r="A15" s="40">
        <v>46078</v>
      </c>
      <c r="C15" s="34" t="s">
        <v>388</v>
      </c>
      <c r="D15" s="34" t="s">
        <v>208</v>
      </c>
      <c r="E15" s="41"/>
      <c r="F15" s="34" t="str">
        <f>IF(Taula_Seguiment[[#This Row],[Comentari]]=F$1,Taula_Seguiment[[#This Row],[Alumne]],"")</f>
        <v/>
      </c>
      <c r="G15" s="34" t="str">
        <f>IF(Taula_Seguiment[[#This Row],[Comentari]]=G$1,Taula_Seguiment[[#This Row],[Alumne]],"")</f>
        <v/>
      </c>
      <c r="H15" s="34" t="str">
        <f>IF(Taula_Seguiment[[#This Row],[Comentari]]=H$1,Taula_Seguiment[[#This Row],[Alumne]],"")</f>
        <v/>
      </c>
      <c r="I15" s="34" t="str">
        <f>IF(Taula_Seguiment[[#This Row],[Empresa]]="","",_xlfn.CONCAT(Taula_Seguiment[[#This Row],[Empresa]]," (",TEXT(Taula_Seguiment[[#This Row],[Data]],"dd/mm/aaaa"),")"))</f>
        <v>MK Development (25/02/2026)</v>
      </c>
      <c r="J15" s="34" t="str">
        <f>IFERROR(VLOOKUP(Taula_Seguiment[[#This Row],[Alumne]],Alumnes!E:AE,18,FALSE),"")</f>
        <v/>
      </c>
      <c r="K15" s="34" t="str">
        <f>IFERROR(VLOOKUP(Taula_Seguiment[[#This Row],[Alumne]],Alumnes!E:AE,19,FALSE),"")</f>
        <v/>
      </c>
    </row>
    <row r="16" spans="1:11" hidden="1" x14ac:dyDescent="0.35">
      <c r="A16" s="40">
        <v>46079</v>
      </c>
      <c r="C16" s="34" t="s">
        <v>388</v>
      </c>
      <c r="D16" s="34" t="s">
        <v>391</v>
      </c>
      <c r="E16" s="41" t="s">
        <v>392</v>
      </c>
      <c r="F16" s="34" t="str">
        <f>IF(Taula_Seguiment[[#This Row],[Comentari]]=F$1,Taula_Seguiment[[#This Row],[Alumne]],"")</f>
        <v/>
      </c>
      <c r="G16" s="34" t="str">
        <f>IF(Taula_Seguiment[[#This Row],[Comentari]]=G$1,Taula_Seguiment[[#This Row],[Alumne]],"")</f>
        <v/>
      </c>
      <c r="H16" s="34" t="str">
        <f>IF(Taula_Seguiment[[#This Row],[Comentari]]=H$1,Taula_Seguiment[[#This Row],[Alumne]],"")</f>
        <v/>
      </c>
      <c r="I16" s="34" t="str">
        <f>IF(Taula_Seguiment[[#This Row],[Empresa]]="","",_xlfn.CONCAT(Taula_Seguiment[[#This Row],[Empresa]]," (",TEXT(Taula_Seguiment[[#This Row],[Data]],"dd/mm/aaaa"),")"))</f>
        <v>MK Development (26/02/2026)</v>
      </c>
      <c r="J16" s="34" t="str">
        <f>IFERROR(VLOOKUP(Taula_Seguiment[[#This Row],[Alumne]],Alumnes!E:AE,18,FALSE),"")</f>
        <v/>
      </c>
      <c r="K16" s="34" t="str">
        <f>IFERROR(VLOOKUP(Taula_Seguiment[[#This Row],[Alumne]],Alumnes!E:AE,19,FALSE),"")</f>
        <v/>
      </c>
    </row>
    <row r="17" spans="1:11" hidden="1" x14ac:dyDescent="0.35">
      <c r="A17" s="40">
        <v>46079</v>
      </c>
      <c r="C17" s="34" t="s">
        <v>383</v>
      </c>
      <c r="D17" s="34" t="s">
        <v>391</v>
      </c>
      <c r="E17" s="41" t="s">
        <v>393</v>
      </c>
      <c r="F17" s="34" t="str">
        <f>IF(Taula_Seguiment[[#This Row],[Comentari]]=F$1,Taula_Seguiment[[#This Row],[Alumne]],"")</f>
        <v/>
      </c>
      <c r="G17" s="34" t="str">
        <f>IF(Taula_Seguiment[[#This Row],[Comentari]]=G$1,Taula_Seguiment[[#This Row],[Alumne]],"")</f>
        <v/>
      </c>
      <c r="H17" s="34" t="str">
        <f>IF(Taula_Seguiment[[#This Row],[Comentari]]=H$1,Taula_Seguiment[[#This Row],[Alumne]],"")</f>
        <v/>
      </c>
      <c r="I17" s="34" t="str">
        <f>IF(Taula_Seguiment[[#This Row],[Empresa]]="","",_xlfn.CONCAT(Taula_Seguiment[[#This Row],[Empresa]]," (",TEXT(Taula_Seguiment[[#This Row],[Data]],"dd/mm/aaaa"),")"))</f>
        <v>Plural Informática (26/02/2026)</v>
      </c>
      <c r="J17" s="34" t="str">
        <f>IFERROR(VLOOKUP(Taula_Seguiment[[#This Row],[Alumne]],Alumnes!E:AE,18,FALSE),"")</f>
        <v/>
      </c>
      <c r="K17" s="34" t="str">
        <f>IFERROR(VLOOKUP(Taula_Seguiment[[#This Row],[Alumne]],Alumnes!E:AE,19,FALSE),"")</f>
        <v/>
      </c>
    </row>
    <row r="18" spans="1:11" hidden="1" x14ac:dyDescent="0.35">
      <c r="A18" s="40">
        <v>46083</v>
      </c>
      <c r="C18" s="34" t="s">
        <v>394</v>
      </c>
      <c r="D18" s="34" t="s">
        <v>208</v>
      </c>
      <c r="E18" s="41"/>
      <c r="F18" s="34" t="str">
        <f>IF(Taula_Seguiment[[#This Row],[Comentari]]=F$1,Taula_Seguiment[[#This Row],[Alumne]],"")</f>
        <v/>
      </c>
      <c r="G18" s="34" t="str">
        <f>IF(Taula_Seguiment[[#This Row],[Comentari]]=G$1,Taula_Seguiment[[#This Row],[Alumne]],"")</f>
        <v/>
      </c>
      <c r="H18" s="34" t="str">
        <f>IF(Taula_Seguiment[[#This Row],[Comentari]]=H$1,Taula_Seguiment[[#This Row],[Alumne]],"")</f>
        <v/>
      </c>
      <c r="I18" s="34" t="str">
        <f>IF(Taula_Seguiment[[#This Row],[Empresa]]="","",_xlfn.CONCAT(Taula_Seguiment[[#This Row],[Empresa]]," (",TEXT(Taula_Seguiment[[#This Row],[Data]],"dd/mm/aaaa"),")"))</f>
        <v>Ingens-Networks (02/03/2026)</v>
      </c>
      <c r="J18" s="34" t="str">
        <f>IFERROR(VLOOKUP(Taula_Seguiment[[#This Row],[Alumne]],Alumnes!E:AE,18,FALSE),"")</f>
        <v/>
      </c>
      <c r="K18" s="34" t="str">
        <f>IFERROR(VLOOKUP(Taula_Seguiment[[#This Row],[Alumne]],Alumnes!E:AE,19,FALSE),"")</f>
        <v/>
      </c>
    </row>
    <row r="19" spans="1:11" hidden="1" x14ac:dyDescent="0.35">
      <c r="A19" s="40">
        <v>46083</v>
      </c>
      <c r="B19" s="34" t="s">
        <v>98</v>
      </c>
      <c r="C19" s="34" t="s">
        <v>394</v>
      </c>
      <c r="D19" s="34" t="s">
        <v>202</v>
      </c>
      <c r="E19" s="41"/>
      <c r="F19" s="34" t="str">
        <f>IF(Taula_Seguiment[[#This Row],[Comentari]]=F$1,Taula_Seguiment[[#This Row],[Alumne]],"")</f>
        <v>Dublanche, Alexis Stéphane Fran</v>
      </c>
      <c r="G19" s="34" t="str">
        <f>IF(Taula_Seguiment[[#This Row],[Comentari]]=G$1,Taula_Seguiment[[#This Row],[Alumne]],"")</f>
        <v/>
      </c>
      <c r="H19" s="34" t="str">
        <f>IF(Taula_Seguiment[[#This Row],[Comentari]]=H$1,Taula_Seguiment[[#This Row],[Alumne]],"")</f>
        <v/>
      </c>
      <c r="I19" s="34" t="str">
        <f>IF(Taula_Seguiment[[#This Row],[Empresa]]="","",_xlfn.CONCAT(Taula_Seguiment[[#This Row],[Empresa]]," (",TEXT(Taula_Seguiment[[#This Row],[Data]],"dd/mm/aaaa"),")"))</f>
        <v>Ingens-Networks (02/03/2026)</v>
      </c>
      <c r="J19" s="34">
        <f>IFERROR(VLOOKUP(Taula_Seguiment[[#This Row],[Alumne]],Alumnes!E:AE,18,FALSE),"")</f>
        <v>0</v>
      </c>
      <c r="K19" s="34" t="str">
        <f>IFERROR(VLOOKUP(Taula_Seguiment[[#This Row],[Alumne]],Alumnes!E:AE,19,FALSE),"")</f>
        <v>Dual int.</v>
      </c>
    </row>
    <row r="20" spans="1:11" hidden="1" x14ac:dyDescent="0.35">
      <c r="A20" s="40">
        <v>46085</v>
      </c>
      <c r="B20" s="34" t="s">
        <v>75</v>
      </c>
      <c r="C20" s="34" t="s">
        <v>380</v>
      </c>
      <c r="D20" s="42" t="s">
        <v>59</v>
      </c>
      <c r="E20" s="41"/>
      <c r="F20" s="34" t="str">
        <f>IF(Taula_Seguiment[[#This Row],[Comentari]]=F$1,Taula_Seguiment[[#This Row],[Alumne]],"")</f>
        <v/>
      </c>
      <c r="G20" s="34" t="str">
        <f>IF(Taula_Seguiment[[#This Row],[Comentari]]=G$1,Taula_Seguiment[[#This Row],[Alumne]],"")</f>
        <v/>
      </c>
      <c r="H20" s="34" t="str">
        <f>IF(Taula_Seguiment[[#This Row],[Comentari]]=H$1,Taula_Seguiment[[#This Row],[Alumne]],"")</f>
        <v/>
      </c>
      <c r="I20" s="34" t="str">
        <f>IF(Taula_Seguiment[[#This Row],[Empresa]]="","",_xlfn.CONCAT(Taula_Seguiment[[#This Row],[Empresa]]," (",TEXT(Taula_Seguiment[[#This Row],[Data]],"dd/mm/aaaa"),")"))</f>
        <v>DST - Deisoltec (04/03/2026)</v>
      </c>
      <c r="J20" s="34">
        <f>IFERROR(VLOOKUP(Taula_Seguiment[[#This Row],[Alumne]],Alumnes!E:AE,18,FALSE),"")</f>
        <v>0</v>
      </c>
      <c r="K20" s="34" t="str">
        <f>IFERROR(VLOOKUP(Taula_Seguiment[[#This Row],[Alumne]],Alumnes!E:AE,19,FALSE),"")</f>
        <v>Dual int.</v>
      </c>
    </row>
    <row r="21" spans="1:11" hidden="1" x14ac:dyDescent="0.35">
      <c r="A21" s="40">
        <v>46085</v>
      </c>
      <c r="C21" s="34" t="s">
        <v>402</v>
      </c>
      <c r="D21" s="34" t="s">
        <v>208</v>
      </c>
      <c r="E21" s="41"/>
      <c r="F21" s="34" t="str">
        <f>IF(Taula_Seguiment[[#This Row],[Comentari]]=F$1,Taula_Seguiment[[#This Row],[Alumne]],"")</f>
        <v/>
      </c>
      <c r="G21" s="34" t="str">
        <f>IF(Taula_Seguiment[[#This Row],[Comentari]]=G$1,Taula_Seguiment[[#This Row],[Alumne]],"")</f>
        <v/>
      </c>
      <c r="H21" s="34" t="str">
        <f>IF(Taula_Seguiment[[#This Row],[Comentari]]=H$1,Taula_Seguiment[[#This Row],[Alumne]],"")</f>
        <v/>
      </c>
      <c r="I21" s="34" t="str">
        <f>IF(Taula_Seguiment[[#This Row],[Empresa]]="","",_xlfn.CONCAT(Taula_Seguiment[[#This Row],[Empresa]]," (",TEXT(Taula_Seguiment[[#This Row],[Data]],"dd/mm/aaaa"),")"))</f>
        <v>Larian Studios Spain SL (04/03/2026)</v>
      </c>
      <c r="J21" s="34" t="str">
        <f>IFERROR(VLOOKUP(Taula_Seguiment[[#This Row],[Alumne]],Alumnes!E:AE,18,FALSE),"")</f>
        <v/>
      </c>
      <c r="K21" s="34" t="str">
        <f>IFERROR(VLOOKUP(Taula_Seguiment[[#This Row],[Alumne]],Alumnes!E:AE,19,FALSE),"")</f>
        <v/>
      </c>
    </row>
    <row r="22" spans="1:11" hidden="1" x14ac:dyDescent="0.35">
      <c r="A22" s="40">
        <v>46085</v>
      </c>
      <c r="C22" s="34" t="s">
        <v>407</v>
      </c>
      <c r="D22" s="34" t="s">
        <v>208</v>
      </c>
      <c r="E22" s="41"/>
      <c r="F22" s="34" t="str">
        <f>IF(Taula_Seguiment[[#This Row],[Comentari]]=F$1,Taula_Seguiment[[#This Row],[Alumne]],"")</f>
        <v/>
      </c>
      <c r="G22" s="34" t="str">
        <f>IF(Taula_Seguiment[[#This Row],[Comentari]]=G$1,Taula_Seguiment[[#This Row],[Alumne]],"")</f>
        <v/>
      </c>
      <c r="H22" s="34" t="str">
        <f>IF(Taula_Seguiment[[#This Row],[Comentari]]=H$1,Taula_Seguiment[[#This Row],[Alumne]],"")</f>
        <v/>
      </c>
      <c r="I22" s="34" t="str">
        <f>IF(Taula_Seguiment[[#This Row],[Empresa]]="","",_xlfn.CONCAT(Taula_Seguiment[[#This Row],[Empresa]]," (",TEXT(Taula_Seguiment[[#This Row],[Data]],"dd/mm/aaaa"),")"))</f>
        <v>Fundación Randstad (04/03/2026)</v>
      </c>
      <c r="J22" s="34" t="str">
        <f>IFERROR(VLOOKUP(Taula_Seguiment[[#This Row],[Alumne]],Alumnes!E:AE,18,FALSE),"")</f>
        <v/>
      </c>
      <c r="K22" s="34" t="str">
        <f>IFERROR(VLOOKUP(Taula_Seguiment[[#This Row],[Alumne]],Alumnes!E:AE,19,FALSE),"")</f>
        <v/>
      </c>
    </row>
    <row r="23" spans="1:11" hidden="1" x14ac:dyDescent="0.35">
      <c r="A23" s="40">
        <v>46085</v>
      </c>
      <c r="B23" s="34" t="s">
        <v>106</v>
      </c>
      <c r="C23" s="34" t="s">
        <v>407</v>
      </c>
      <c r="D23" s="34" t="s">
        <v>202</v>
      </c>
      <c r="E23" s="41"/>
      <c r="F23" s="34" t="str">
        <f>IF(Taula_Seguiment[[#This Row],[Comentari]]=F$1,Taula_Seguiment[[#This Row],[Alumne]],"")</f>
        <v>Fernandes Teixeira, Sebastian Samuel</v>
      </c>
      <c r="G23" s="34" t="str">
        <f>IF(Taula_Seguiment[[#This Row],[Comentari]]=G$1,Taula_Seguiment[[#This Row],[Alumne]],"")</f>
        <v/>
      </c>
      <c r="H23" s="34" t="str">
        <f>IF(Taula_Seguiment[[#This Row],[Comentari]]=H$1,Taula_Seguiment[[#This Row],[Alumne]],"")</f>
        <v/>
      </c>
      <c r="I23" s="34" t="str">
        <f>IF(Taula_Seguiment[[#This Row],[Empresa]]="","",_xlfn.CONCAT(Taula_Seguiment[[#This Row],[Empresa]]," (",TEXT(Taula_Seguiment[[#This Row],[Data]],"dd/mm/aaaa"),")"))</f>
        <v>Fundación Randstad (04/03/2026)</v>
      </c>
      <c r="J23" s="34">
        <f>IFERROR(VLOOKUP(Taula_Seguiment[[#This Row],[Alumne]],Alumnes!E:AE,18,FALSE),"")</f>
        <v>0</v>
      </c>
      <c r="K23" s="34" t="str">
        <f>IFERROR(VLOOKUP(Taula_Seguiment[[#This Row],[Alumne]],Alumnes!E:AE,19,FALSE),"")</f>
        <v>Dual int.</v>
      </c>
    </row>
    <row r="24" spans="1:11" ht="29" hidden="1" x14ac:dyDescent="0.35">
      <c r="A24" s="40">
        <v>46086</v>
      </c>
      <c r="C24" s="34" t="s">
        <v>407</v>
      </c>
      <c r="D24" s="34" t="s">
        <v>212</v>
      </c>
      <c r="E24" s="41" t="s">
        <v>413</v>
      </c>
      <c r="F24" s="34" t="str">
        <f>IF(Taula_Seguiment[[#This Row],[Comentari]]=F$1,Taula_Seguiment[[#This Row],[Alumne]],"")</f>
        <v/>
      </c>
      <c r="G24" s="34" t="str">
        <f>IF(Taula_Seguiment[[#This Row],[Comentari]]=G$1,Taula_Seguiment[[#This Row],[Alumne]],"")</f>
        <v/>
      </c>
      <c r="H24" s="34" t="str">
        <f>IF(Taula_Seguiment[[#This Row],[Comentari]]=H$1,Taula_Seguiment[[#This Row],[Alumne]],"")</f>
        <v/>
      </c>
      <c r="I24" s="34" t="str">
        <f>IF(Taula_Seguiment[[#This Row],[Empresa]]="","",_xlfn.CONCAT(Taula_Seguiment[[#This Row],[Empresa]]," (",TEXT(Taula_Seguiment[[#This Row],[Data]],"dd/mm/aaaa"),")"))</f>
        <v>Fundación Randstad (05/03/2026)</v>
      </c>
      <c r="J24" s="34" t="str">
        <f>IFERROR(VLOOKUP(Taula_Seguiment[[#This Row],[Alumne]],Alumnes!E:AE,18,FALSE),"")</f>
        <v/>
      </c>
      <c r="K24" s="34" t="str">
        <f>IFERROR(VLOOKUP(Taula_Seguiment[[#This Row],[Alumne]],Alumnes!E:AE,19,FALSE),"")</f>
        <v/>
      </c>
    </row>
    <row r="25" spans="1:11" x14ac:dyDescent="0.35">
      <c r="A25" s="40">
        <v>46086</v>
      </c>
      <c r="B25" s="34" t="s">
        <v>79</v>
      </c>
      <c r="C25" s="34" t="s">
        <v>377</v>
      </c>
      <c r="D25" s="34" t="s">
        <v>203</v>
      </c>
      <c r="E25" s="41"/>
      <c r="F25" s="34" t="str">
        <f>IF(Taula_Seguiment[[#This Row],[Comentari]]=F$1,Taula_Seguiment[[#This Row],[Alumne]],"")</f>
        <v/>
      </c>
      <c r="G25" s="34" t="str">
        <f>IF(Taula_Seguiment[[#This Row],[Comentari]]=G$1,Taula_Seguiment[[#This Row],[Alumne]],"")</f>
        <v>Benítes Zambrano, David</v>
      </c>
      <c r="H25" s="34" t="str">
        <f>IF(Taula_Seguiment[[#This Row],[Comentari]]=H$1,Taula_Seguiment[[#This Row],[Alumne]],"")</f>
        <v/>
      </c>
      <c r="I25" s="34" t="str">
        <f>IF(Taula_Seguiment[[#This Row],[Empresa]]="","",_xlfn.CONCAT(Taula_Seguiment[[#This Row],[Empresa]]," (",TEXT(Taula_Seguiment[[#This Row],[Data]],"dd/mm/aaaa"),")"))</f>
        <v>OUA Gestió del Territori i Urbanisme S. L. (05/03/2026)</v>
      </c>
      <c r="J25" s="34">
        <f>IFERROR(VLOOKUP(Taula_Seguiment[[#This Row],[Alumne]],Alumnes!E:AE,18,FALSE),"")</f>
        <v>0</v>
      </c>
      <c r="K25" s="34" t="str">
        <f>IFERROR(VLOOKUP(Taula_Seguiment[[#This Row],[Alumne]],Alumnes!E:AE,19,FALSE),"")</f>
        <v>Dual int.</v>
      </c>
    </row>
    <row r="26" spans="1:11" hidden="1" x14ac:dyDescent="0.35">
      <c r="A26" s="40">
        <v>46086</v>
      </c>
      <c r="B26" s="34" t="s">
        <v>106</v>
      </c>
      <c r="C26" s="34" t="s">
        <v>377</v>
      </c>
      <c r="D26" s="34" t="s">
        <v>203</v>
      </c>
      <c r="E26" s="41"/>
      <c r="F26" s="34" t="str">
        <f>IF(Taula_Seguiment[[#This Row],[Comentari]]=F$1,Taula_Seguiment[[#This Row],[Alumne]],"")</f>
        <v/>
      </c>
      <c r="G26" s="34" t="str">
        <f>IF(Taula_Seguiment[[#This Row],[Comentari]]=G$1,Taula_Seguiment[[#This Row],[Alumne]],"")</f>
        <v>Fernandes Teixeira, Sebastian Samuel</v>
      </c>
      <c r="H26" s="34" t="str">
        <f>IF(Taula_Seguiment[[#This Row],[Comentari]]=H$1,Taula_Seguiment[[#This Row],[Alumne]],"")</f>
        <v/>
      </c>
      <c r="I26" s="34" t="str">
        <f>IF(Taula_Seguiment[[#This Row],[Empresa]]="","",_xlfn.CONCAT(Taula_Seguiment[[#This Row],[Empresa]]," (",TEXT(Taula_Seguiment[[#This Row],[Data]],"dd/mm/aaaa"),")"))</f>
        <v>OUA Gestió del Territori i Urbanisme S. L. (05/03/2026)</v>
      </c>
      <c r="J26" s="34">
        <f>IFERROR(VLOOKUP(Taula_Seguiment[[#This Row],[Alumne]],Alumnes!E:AE,18,FALSE),"")</f>
        <v>0</v>
      </c>
      <c r="K26" s="34" t="str">
        <f>IFERROR(VLOOKUP(Taula_Seguiment[[#This Row],[Alumne]],Alumnes!E:AE,19,FALSE),"")</f>
        <v>Dual int.</v>
      </c>
    </row>
    <row r="27" spans="1:11" hidden="1" x14ac:dyDescent="0.35">
      <c r="A27" s="40">
        <v>46087</v>
      </c>
      <c r="B27" s="34" t="s">
        <v>135</v>
      </c>
      <c r="C27" s="34" t="s">
        <v>367</v>
      </c>
      <c r="D27" s="34" t="s">
        <v>203</v>
      </c>
      <c r="E27" s="41"/>
      <c r="F27" s="34" t="str">
        <f>IF(Taula_Seguiment[[#This Row],[Comentari]]=F$1,Taula_Seguiment[[#This Row],[Alumne]],"")</f>
        <v/>
      </c>
      <c r="G27" s="34" t="str">
        <f>IF(Taula_Seguiment[[#This Row],[Comentari]]=G$1,Taula_Seguiment[[#This Row],[Alumne]],"")</f>
        <v>Rodríguez González, Mario</v>
      </c>
      <c r="H27" s="34" t="str">
        <f>IF(Taula_Seguiment[[#This Row],[Comentari]]=H$1,Taula_Seguiment[[#This Row],[Alumne]],"")</f>
        <v/>
      </c>
      <c r="I27" s="34" t="str">
        <f>IF(Taula_Seguiment[[#This Row],[Empresa]]="","",_xlfn.CONCAT(Taula_Seguiment[[#This Row],[Empresa]]," (",TEXT(Taula_Seguiment[[#This Row],[Data]],"dd/mm/aaaa"),")"))</f>
        <v>TOBEIT SL (06/03/2026)</v>
      </c>
      <c r="J27" s="34">
        <f>IFERROR(VLOOKUP(Taula_Seguiment[[#This Row],[Alumne]],Alumnes!E:AE,18,FALSE),"")</f>
        <v>0</v>
      </c>
      <c r="K27" s="34" t="str">
        <f>IFERROR(VLOOKUP(Taula_Seguiment[[#This Row],[Alumne]],Alumnes!E:AE,19,FALSE),"")</f>
        <v>Dual int.</v>
      </c>
    </row>
    <row r="28" spans="1:11" hidden="1" x14ac:dyDescent="0.35">
      <c r="A28" s="40">
        <v>46090</v>
      </c>
      <c r="C28" s="34" t="s">
        <v>402</v>
      </c>
      <c r="D28" s="34" t="s">
        <v>391</v>
      </c>
      <c r="E28" s="41" t="s">
        <v>410</v>
      </c>
      <c r="F28" s="34" t="str">
        <f>IF(Taula_Seguiment[[#This Row],[Comentari]]=F$1,Taula_Seguiment[[#This Row],[Alumne]],"")</f>
        <v/>
      </c>
      <c r="G28" s="34" t="str">
        <f>IF(Taula_Seguiment[[#This Row],[Comentari]]=G$1,Taula_Seguiment[[#This Row],[Alumne]],"")</f>
        <v/>
      </c>
      <c r="H28" s="34" t="str">
        <f>IF(Taula_Seguiment[[#This Row],[Comentari]]=H$1,Taula_Seguiment[[#This Row],[Alumne]],"")</f>
        <v/>
      </c>
      <c r="I28" s="34" t="str">
        <f>IF(Taula_Seguiment[[#This Row],[Empresa]]="","",_xlfn.CONCAT(Taula_Seguiment[[#This Row],[Empresa]]," (",TEXT(Taula_Seguiment[[#This Row],[Data]],"dd/mm/aaaa"),")"))</f>
        <v>Larian Studios Spain SL (09/03/2026)</v>
      </c>
      <c r="J28" s="34" t="str">
        <f>IFERROR(VLOOKUP(Taula_Seguiment[[#This Row],[Alumne]],Alumnes!E:AE,18,FALSE),"")</f>
        <v/>
      </c>
      <c r="K28" s="34" t="str">
        <f>IFERROR(VLOOKUP(Taula_Seguiment[[#This Row],[Alumne]],Alumnes!E:AE,19,FALSE),"")</f>
        <v/>
      </c>
    </row>
    <row r="29" spans="1:11" hidden="1" x14ac:dyDescent="0.35">
      <c r="A29" s="40">
        <v>46090</v>
      </c>
      <c r="B29" s="34" t="s">
        <v>135</v>
      </c>
      <c r="C29" s="34" t="s">
        <v>402</v>
      </c>
      <c r="D29" s="34" t="s">
        <v>202</v>
      </c>
      <c r="E29" s="41"/>
      <c r="F29" s="34" t="str">
        <f>IF(Taula_Seguiment[[#This Row],[Comentari]]=F$1,Taula_Seguiment[[#This Row],[Alumne]],"")</f>
        <v>Rodríguez González, Mario</v>
      </c>
      <c r="G29" s="34" t="str">
        <f>IF(Taula_Seguiment[[#This Row],[Comentari]]=G$1,Taula_Seguiment[[#This Row],[Alumne]],"")</f>
        <v/>
      </c>
      <c r="H29" s="34" t="str">
        <f>IF(Taula_Seguiment[[#This Row],[Comentari]]=H$1,Taula_Seguiment[[#This Row],[Alumne]],"")</f>
        <v/>
      </c>
      <c r="I29" s="34" t="str">
        <f>IF(Taula_Seguiment[[#This Row],[Empresa]]="","",_xlfn.CONCAT(Taula_Seguiment[[#This Row],[Empresa]]," (",TEXT(Taula_Seguiment[[#This Row],[Data]],"dd/mm/aaaa"),")"))</f>
        <v>Larian Studios Spain SL (09/03/2026)</v>
      </c>
      <c r="J29" s="34">
        <f>IFERROR(VLOOKUP(Taula_Seguiment[[#This Row],[Alumne]],Alumnes!E:AE,18,FALSE),"")</f>
        <v>0</v>
      </c>
      <c r="K29" s="34" t="str">
        <f>IFERROR(VLOOKUP(Taula_Seguiment[[#This Row],[Alumne]],Alumnes!E:AE,19,FALSE),"")</f>
        <v>Dual int.</v>
      </c>
    </row>
    <row r="30" spans="1:11" x14ac:dyDescent="0.35">
      <c r="A30" s="40">
        <v>46090</v>
      </c>
      <c r="B30" s="34" t="s">
        <v>79</v>
      </c>
      <c r="C30" s="34" t="s">
        <v>402</v>
      </c>
      <c r="D30" s="34" t="s">
        <v>202</v>
      </c>
      <c r="E30" s="41"/>
      <c r="F30" s="34" t="str">
        <f>IF(Taula_Seguiment[[#This Row],[Comentari]]=F$1,Taula_Seguiment[[#This Row],[Alumne]],"")</f>
        <v>Benítes Zambrano, David</v>
      </c>
      <c r="G30" s="34" t="str">
        <f>IF(Taula_Seguiment[[#This Row],[Comentari]]=G$1,Taula_Seguiment[[#This Row],[Alumne]],"")</f>
        <v/>
      </c>
      <c r="H30" s="34" t="str">
        <f>IF(Taula_Seguiment[[#This Row],[Comentari]]=H$1,Taula_Seguiment[[#This Row],[Alumne]],"")</f>
        <v/>
      </c>
      <c r="I30" s="34" t="str">
        <f>IF(Taula_Seguiment[[#This Row],[Empresa]]="","",_xlfn.CONCAT(Taula_Seguiment[[#This Row],[Empresa]]," (",TEXT(Taula_Seguiment[[#This Row],[Data]],"dd/mm/aaaa"),")"))</f>
        <v>Larian Studios Spain SL (09/03/2026)</v>
      </c>
      <c r="J30" s="34">
        <f>IFERROR(VLOOKUP(Taula_Seguiment[[#This Row],[Alumne]],Alumnes!E:AE,18,FALSE),"")</f>
        <v>0</v>
      </c>
      <c r="K30" s="34" t="str">
        <f>IFERROR(VLOOKUP(Taula_Seguiment[[#This Row],[Alumne]],Alumnes!E:AE,19,FALSE),"")</f>
        <v>Dual int.</v>
      </c>
    </row>
    <row r="31" spans="1:11" hidden="1" x14ac:dyDescent="0.35">
      <c r="A31" s="40">
        <v>46090</v>
      </c>
      <c r="B31" s="34" t="s">
        <v>75</v>
      </c>
      <c r="C31" s="34" t="s">
        <v>380</v>
      </c>
      <c r="D31" s="34" t="s">
        <v>204</v>
      </c>
      <c r="E31" s="41"/>
      <c r="F31" s="34" t="str">
        <f>IF(Taula_Seguiment[[#This Row],[Comentari]]=F$1,Taula_Seguiment[[#This Row],[Alumne]],"")</f>
        <v/>
      </c>
      <c r="G31" s="34" t="str">
        <f>IF(Taula_Seguiment[[#This Row],[Comentari]]=G$1,Taula_Seguiment[[#This Row],[Alumne]],"")</f>
        <v/>
      </c>
      <c r="H31" s="34" t="str">
        <f>IF(Taula_Seguiment[[#This Row],[Comentari]]=H$1,Taula_Seguiment[[#This Row],[Alumne]],"")</f>
        <v/>
      </c>
      <c r="I31" s="34" t="str">
        <f>IF(Taula_Seguiment[[#This Row],[Empresa]]="","",_xlfn.CONCAT(Taula_Seguiment[[#This Row],[Empresa]]," (",TEXT(Taula_Seguiment[[#This Row],[Data]],"dd/mm/aaaa"),")"))</f>
        <v>DST - Deisoltec (09/03/2026)</v>
      </c>
      <c r="J31" s="34">
        <f>IFERROR(VLOOKUP(Taula_Seguiment[[#This Row],[Alumne]],Alumnes!E:AE,18,FALSE),"")</f>
        <v>0</v>
      </c>
      <c r="K31" s="34" t="str">
        <f>IFERROR(VLOOKUP(Taula_Seguiment[[#This Row],[Alumne]],Alumnes!E:AE,19,FALSE),"")</f>
        <v>Dual int.</v>
      </c>
    </row>
    <row r="32" spans="1:11" hidden="1" x14ac:dyDescent="0.35">
      <c r="A32" s="40">
        <v>46091</v>
      </c>
      <c r="B32" s="34" t="s">
        <v>95</v>
      </c>
      <c r="C32" s="34" t="s">
        <v>383</v>
      </c>
      <c r="D32" s="34" t="s">
        <v>202</v>
      </c>
      <c r="E32" s="41"/>
      <c r="F32" s="34" t="str">
        <f>IF(Taula_Seguiment[[#This Row],[Comentari]]=F$1,Taula_Seguiment[[#This Row],[Alumne]],"")</f>
        <v>Corbelle Padin, Iago</v>
      </c>
      <c r="G32" s="34" t="str">
        <f>IF(Taula_Seguiment[[#This Row],[Comentari]]=G$1,Taula_Seguiment[[#This Row],[Alumne]],"")</f>
        <v/>
      </c>
      <c r="H32" s="34" t="str">
        <f>IF(Taula_Seguiment[[#This Row],[Comentari]]=H$1,Taula_Seguiment[[#This Row],[Alumne]],"")</f>
        <v/>
      </c>
      <c r="I32" s="34" t="str">
        <f>IF(Taula_Seguiment[[#This Row],[Empresa]]="","",_xlfn.CONCAT(Taula_Seguiment[[#This Row],[Empresa]]," (",TEXT(Taula_Seguiment[[#This Row],[Data]],"dd/mm/aaaa"),")"))</f>
        <v>Plural Informática (10/03/2026)</v>
      </c>
      <c r="J32" s="34">
        <f>IFERROR(VLOOKUP(Taula_Seguiment[[#This Row],[Alumne]],Alumnes!E:AE,18,FALSE),"")</f>
        <v>0</v>
      </c>
      <c r="K32" s="34" t="str">
        <f>IFERROR(VLOOKUP(Taula_Seguiment[[#This Row],[Alumne]],Alumnes!E:AE,19,FALSE),"")</f>
        <v>Dual gen.</v>
      </c>
    </row>
    <row r="33" spans="1:11" hidden="1" x14ac:dyDescent="0.35">
      <c r="A33" s="40">
        <v>46091</v>
      </c>
      <c r="B33" s="34" t="s">
        <v>113</v>
      </c>
      <c r="C33" s="34" t="s">
        <v>383</v>
      </c>
      <c r="D33" s="34" t="s">
        <v>202</v>
      </c>
      <c r="E33" s="41"/>
      <c r="F33" s="34" t="str">
        <f>IF(Taula_Seguiment[[#This Row],[Comentari]]=F$1,Taula_Seguiment[[#This Row],[Alumne]],"")</f>
        <v>Guillamon Uzñate, Arnau</v>
      </c>
      <c r="G33" s="34" t="str">
        <f>IF(Taula_Seguiment[[#This Row],[Comentari]]=G$1,Taula_Seguiment[[#This Row],[Alumne]],"")</f>
        <v/>
      </c>
      <c r="H33" s="34" t="str">
        <f>IF(Taula_Seguiment[[#This Row],[Comentari]]=H$1,Taula_Seguiment[[#This Row],[Alumne]],"")</f>
        <v/>
      </c>
      <c r="I33" s="34" t="str">
        <f>IF(Taula_Seguiment[[#This Row],[Empresa]]="","",_xlfn.CONCAT(Taula_Seguiment[[#This Row],[Empresa]]," (",TEXT(Taula_Seguiment[[#This Row],[Data]],"dd/mm/aaaa"),")"))</f>
        <v>Plural Informática (10/03/2026)</v>
      </c>
      <c r="J33" s="34">
        <f>IFERROR(VLOOKUP(Taula_Seguiment[[#This Row],[Alumne]],Alumnes!E:AE,18,FALSE),"")</f>
        <v>0</v>
      </c>
      <c r="K33" s="34" t="str">
        <f>IFERROR(VLOOKUP(Taula_Seguiment[[#This Row],[Alumne]],Alumnes!E:AE,19,FALSE),"")</f>
        <v>Dual gen.</v>
      </c>
    </row>
    <row r="34" spans="1:11" hidden="1" x14ac:dyDescent="0.35">
      <c r="A34" s="40">
        <v>46092</v>
      </c>
      <c r="B34" s="34" t="s">
        <v>101</v>
      </c>
      <c r="C34" s="34" t="s">
        <v>367</v>
      </c>
      <c r="D34" s="42" t="s">
        <v>59</v>
      </c>
      <c r="E34" s="41"/>
      <c r="F34" s="34" t="str">
        <f>IF(Taula_Seguiment[[#This Row],[Comentari]]=F$1,Taula_Seguiment[[#This Row],[Alumne]],"")</f>
        <v/>
      </c>
      <c r="G34" s="34" t="str">
        <f>IF(Taula_Seguiment[[#This Row],[Comentari]]=G$1,Taula_Seguiment[[#This Row],[Alumne]],"")</f>
        <v/>
      </c>
      <c r="H34" s="34" t="str">
        <f>IF(Taula_Seguiment[[#This Row],[Comentari]]=H$1,Taula_Seguiment[[#This Row],[Alumne]],"")</f>
        <v/>
      </c>
      <c r="I34" s="34" t="str">
        <f>IF(Taula_Seguiment[[#This Row],[Empresa]]="","",_xlfn.CONCAT(Taula_Seguiment[[#This Row],[Empresa]]," (",TEXT(Taula_Seguiment[[#This Row],[Data]],"dd/mm/aaaa"),")"))</f>
        <v>TOBEIT SL (11/03/2026)</v>
      </c>
      <c r="J34" s="34">
        <f>IFERROR(VLOOKUP(Taula_Seguiment[[#This Row],[Alumne]],Alumnes!E:AE,18,FALSE),"")</f>
        <v>0</v>
      </c>
      <c r="K34" s="34" t="str">
        <f>IFERROR(VLOOKUP(Taula_Seguiment[[#This Row],[Alumne]],Alumnes!E:AE,19,FALSE),"")</f>
        <v>Dual int.</v>
      </c>
    </row>
    <row r="35" spans="1:11" hidden="1" x14ac:dyDescent="0.35">
      <c r="A35" s="40">
        <v>46092</v>
      </c>
      <c r="C35" s="34" t="s">
        <v>414</v>
      </c>
      <c r="D35" s="34" t="s">
        <v>391</v>
      </c>
      <c r="E35" s="41" t="s">
        <v>418</v>
      </c>
      <c r="F35" s="34" t="str">
        <f>IF(Taula_Seguiment[[#This Row],[Comentari]]=F$1,Taula_Seguiment[[#This Row],[Alumne]],"")</f>
        <v/>
      </c>
      <c r="G35" s="34" t="str">
        <f>IF(Taula_Seguiment[[#This Row],[Comentari]]=G$1,Taula_Seguiment[[#This Row],[Alumne]],"")</f>
        <v/>
      </c>
      <c r="H35" s="34" t="str">
        <f>IF(Taula_Seguiment[[#This Row],[Comentari]]=H$1,Taula_Seguiment[[#This Row],[Alumne]],"")</f>
        <v/>
      </c>
      <c r="I35" s="34" t="str">
        <f>IF(Taula_Seguiment[[#This Row],[Empresa]]="","",_xlfn.CONCAT(Taula_Seguiment[[#This Row],[Empresa]]," (",TEXT(Taula_Seguiment[[#This Row],[Data]],"dd/mm/aaaa"),")"))</f>
        <v>Frigicoll (11/03/2026)</v>
      </c>
      <c r="J35" s="34" t="str">
        <f>IFERROR(VLOOKUP(Taula_Seguiment[[#This Row],[Alumne]],Alumnes!E:AE,18,FALSE),"")</f>
        <v/>
      </c>
      <c r="K35" s="34" t="str">
        <f>IFERROR(VLOOKUP(Taula_Seguiment[[#This Row],[Alumne]],Alumnes!E:AE,19,FALSE),"")</f>
        <v/>
      </c>
    </row>
    <row r="36" spans="1:11" hidden="1" x14ac:dyDescent="0.35">
      <c r="A36" s="40">
        <v>46092</v>
      </c>
      <c r="C36" s="34" t="s">
        <v>420</v>
      </c>
      <c r="D36" s="34" t="s">
        <v>208</v>
      </c>
      <c r="E36" s="41"/>
      <c r="F36" s="34" t="str">
        <f>IF(Taula_Seguiment[[#This Row],[Comentari]]=F$1,Taula_Seguiment[[#This Row],[Alumne]],"")</f>
        <v/>
      </c>
      <c r="G36" s="34" t="str">
        <f>IF(Taula_Seguiment[[#This Row],[Comentari]]=G$1,Taula_Seguiment[[#This Row],[Alumne]],"")</f>
        <v/>
      </c>
      <c r="H36" s="34" t="str">
        <f>IF(Taula_Seguiment[[#This Row],[Comentari]]=H$1,Taula_Seguiment[[#This Row],[Alumne]],"")</f>
        <v/>
      </c>
      <c r="I36" s="34" t="str">
        <f>IF(Taula_Seguiment[[#This Row],[Empresa]]="","",_xlfn.CONCAT(Taula_Seguiment[[#This Row],[Empresa]]," (",TEXT(Taula_Seguiment[[#This Row],[Data]],"dd/mm/aaaa"),")"))</f>
        <v>Sirt (11/03/2026)</v>
      </c>
      <c r="J36" s="34" t="str">
        <f>IFERROR(VLOOKUP(Taula_Seguiment[[#This Row],[Alumne]],Alumnes!E:AE,18,FALSE),"")</f>
        <v/>
      </c>
      <c r="K36" s="34" t="str">
        <f>IFERROR(VLOOKUP(Taula_Seguiment[[#This Row],[Alumne]],Alumnes!E:AE,19,FALSE),"")</f>
        <v/>
      </c>
    </row>
    <row r="37" spans="1:11" hidden="1" x14ac:dyDescent="0.35">
      <c r="A37" s="40">
        <v>46092</v>
      </c>
      <c r="B37" s="34" t="s">
        <v>141</v>
      </c>
      <c r="C37" s="34" t="s">
        <v>424</v>
      </c>
      <c r="D37" s="34" t="s">
        <v>202</v>
      </c>
      <c r="E37" s="41"/>
      <c r="F37" s="34" t="str">
        <f>IF(Taula_Seguiment[[#This Row],[Comentari]]=F$1,Taula_Seguiment[[#This Row],[Alumne]],"")</f>
        <v>Simarro González, Izan</v>
      </c>
      <c r="G37" s="34" t="str">
        <f>IF(Taula_Seguiment[[#This Row],[Comentari]]=G$1,Taula_Seguiment[[#This Row],[Alumne]],"")</f>
        <v/>
      </c>
      <c r="H37" s="34" t="str">
        <f>IF(Taula_Seguiment[[#This Row],[Comentari]]=H$1,Taula_Seguiment[[#This Row],[Alumne]],"")</f>
        <v/>
      </c>
      <c r="I37" s="34" t="str">
        <f>IF(Taula_Seguiment[[#This Row],[Empresa]]="","",_xlfn.CONCAT(Taula_Seguiment[[#This Row],[Empresa]]," (",TEXT(Taula_Seguiment[[#This Row],[Data]],"dd/mm/aaaa"),")"))</f>
        <v>DeInfo (11/03/2026)</v>
      </c>
      <c r="J37" s="34">
        <f>IFERROR(VLOOKUP(Taula_Seguiment[[#This Row],[Alumne]],Alumnes!E:AE,18,FALSE),"")</f>
        <v>0</v>
      </c>
      <c r="K37" s="34" t="str">
        <f>IFERROR(VLOOKUP(Taula_Seguiment[[#This Row],[Alumne]],Alumnes!E:AE,19,FALSE),"")</f>
        <v>Dual gen.</v>
      </c>
    </row>
    <row r="38" spans="1:11" hidden="1" x14ac:dyDescent="0.35">
      <c r="A38" s="40">
        <v>46092</v>
      </c>
      <c r="B38" s="34" t="s">
        <v>119</v>
      </c>
      <c r="C38" s="34" t="s">
        <v>424</v>
      </c>
      <c r="D38" s="34" t="s">
        <v>202</v>
      </c>
      <c r="E38" s="41"/>
      <c r="F38" s="34" t="str">
        <f>IF(Taula_Seguiment[[#This Row],[Comentari]]=F$1,Taula_Seguiment[[#This Row],[Alumne]],"")</f>
        <v>Lucas Jerez, Hector</v>
      </c>
      <c r="G38" s="34" t="str">
        <f>IF(Taula_Seguiment[[#This Row],[Comentari]]=G$1,Taula_Seguiment[[#This Row],[Alumne]],"")</f>
        <v/>
      </c>
      <c r="H38" s="34" t="str">
        <f>IF(Taula_Seguiment[[#This Row],[Comentari]]=H$1,Taula_Seguiment[[#This Row],[Alumne]],"")</f>
        <v/>
      </c>
      <c r="I38" s="34" t="str">
        <f>IF(Taula_Seguiment[[#This Row],[Empresa]]="","",_xlfn.CONCAT(Taula_Seguiment[[#This Row],[Empresa]]," (",TEXT(Taula_Seguiment[[#This Row],[Data]],"dd/mm/aaaa"),")"))</f>
        <v>DeInfo (11/03/2026)</v>
      </c>
      <c r="J38" s="34">
        <f>IFERROR(VLOOKUP(Taula_Seguiment[[#This Row],[Alumne]],Alumnes!E:AE,18,FALSE),"")</f>
        <v>0</v>
      </c>
      <c r="K38" s="34" t="str">
        <f>IFERROR(VLOOKUP(Taula_Seguiment[[#This Row],[Alumne]],Alumnes!E:AE,19,FALSE),"")</f>
        <v>Dual gen.</v>
      </c>
    </row>
    <row r="39" spans="1:11" hidden="1" x14ac:dyDescent="0.35">
      <c r="A39" s="40">
        <v>46100</v>
      </c>
      <c r="B39" s="34" t="s">
        <v>141</v>
      </c>
      <c r="C39" s="34" t="s">
        <v>424</v>
      </c>
      <c r="D39" s="34" t="s">
        <v>203</v>
      </c>
      <c r="E39" s="41"/>
      <c r="F39" s="34" t="str">
        <f>IF(Taula_Seguiment[[#This Row],[Comentari]]=F$1,Taula_Seguiment[[#This Row],[Alumne]],"")</f>
        <v/>
      </c>
      <c r="G39" s="34" t="str">
        <f>IF(Taula_Seguiment[[#This Row],[Comentari]]=G$1,Taula_Seguiment[[#This Row],[Alumne]],"")</f>
        <v>Simarro González, Izan</v>
      </c>
      <c r="H39" s="34" t="str">
        <f>IF(Taula_Seguiment[[#This Row],[Comentari]]=H$1,Taula_Seguiment[[#This Row],[Alumne]],"")</f>
        <v/>
      </c>
      <c r="I39" s="34" t="str">
        <f>IF(Taula_Seguiment[[#This Row],[Empresa]]="","",_xlfn.CONCAT(Taula_Seguiment[[#This Row],[Empresa]]," (",TEXT(Taula_Seguiment[[#This Row],[Data]],"dd/mm/aaaa"),")"))</f>
        <v>DeInfo (19/03/2026)</v>
      </c>
      <c r="J39" s="34">
        <f>IFERROR(VLOOKUP(Taula_Seguiment[[#This Row],[Alumne]],Alumnes!E:AE,18,FALSE),"")</f>
        <v>0</v>
      </c>
      <c r="K39" s="34" t="str">
        <f>IFERROR(VLOOKUP(Taula_Seguiment[[#This Row],[Alumne]],Alumnes!E:AE,19,FALSE),"")</f>
        <v>Dual gen.</v>
      </c>
    </row>
    <row r="40" spans="1:11" hidden="1" x14ac:dyDescent="0.35">
      <c r="A40" s="40">
        <v>46100</v>
      </c>
      <c r="B40" s="34" t="s">
        <v>119</v>
      </c>
      <c r="C40" s="34" t="s">
        <v>424</v>
      </c>
      <c r="D40" s="42" t="s">
        <v>59</v>
      </c>
      <c r="E40" s="41"/>
      <c r="F40" s="34" t="str">
        <f>IF(Taula_Seguiment[[#This Row],[Comentari]]=F$1,Taula_Seguiment[[#This Row],[Alumne]],"")</f>
        <v/>
      </c>
      <c r="G40" s="34" t="str">
        <f>IF(Taula_Seguiment[[#This Row],[Comentari]]=G$1,Taula_Seguiment[[#This Row],[Alumne]],"")</f>
        <v/>
      </c>
      <c r="H40" s="34" t="str">
        <f>IF(Taula_Seguiment[[#This Row],[Comentari]]=H$1,Taula_Seguiment[[#This Row],[Alumne]],"")</f>
        <v/>
      </c>
      <c r="I40" s="34" t="str">
        <f>IF(Taula_Seguiment[[#This Row],[Empresa]]="","",_xlfn.CONCAT(Taula_Seguiment[[#This Row],[Empresa]]," (",TEXT(Taula_Seguiment[[#This Row],[Data]],"dd/mm/aaaa"),")"))</f>
        <v>DeInfo (19/03/2026)</v>
      </c>
      <c r="J40" s="34">
        <f>IFERROR(VLOOKUP(Taula_Seguiment[[#This Row],[Alumne]],Alumnes!E:AE,18,FALSE),"")</f>
        <v>0</v>
      </c>
      <c r="K40" s="34" t="str">
        <f>IFERROR(VLOOKUP(Taula_Seguiment[[#This Row],[Alumne]],Alumnes!E:AE,19,FALSE),"")</f>
        <v>Dual gen.</v>
      </c>
    </row>
    <row r="41" spans="1:11" hidden="1" x14ac:dyDescent="0.35">
      <c r="A41" s="40">
        <v>46104</v>
      </c>
      <c r="B41" s="34" t="s">
        <v>106</v>
      </c>
      <c r="C41" s="34" t="s">
        <v>407</v>
      </c>
      <c r="D41" s="34" t="s">
        <v>203</v>
      </c>
      <c r="E41" s="41"/>
      <c r="F41" s="34" t="str">
        <f>IF(Taula_Seguiment[[#This Row],[Comentari]]=F$1,Taula_Seguiment[[#This Row],[Alumne]],"")</f>
        <v/>
      </c>
      <c r="G41" s="34" t="str">
        <f>IF(Taula_Seguiment[[#This Row],[Comentari]]=G$1,Taula_Seguiment[[#This Row],[Alumne]],"")</f>
        <v>Fernandes Teixeira, Sebastian Samuel</v>
      </c>
      <c r="H41" s="34" t="str">
        <f>IF(Taula_Seguiment[[#This Row],[Comentari]]=H$1,Taula_Seguiment[[#This Row],[Alumne]],"")</f>
        <v/>
      </c>
      <c r="I41" s="34" t="str">
        <f>IF(Taula_Seguiment[[#This Row],[Empresa]]="","",_xlfn.CONCAT(Taula_Seguiment[[#This Row],[Empresa]]," (",TEXT(Taula_Seguiment[[#This Row],[Data]],"dd/mm/aaaa"),")"))</f>
        <v>Fundación Randstad (23/03/2026)</v>
      </c>
      <c r="J41" s="34">
        <f>IFERROR(VLOOKUP(Taula_Seguiment[[#This Row],[Alumne]],Alumnes!E:AE,18,FALSE),"")</f>
        <v>0</v>
      </c>
      <c r="K41" s="34" t="str">
        <f>IFERROR(VLOOKUP(Taula_Seguiment[[#This Row],[Alumne]],Alumnes!E:AE,19,FALSE),"")</f>
        <v>Dual int.</v>
      </c>
    </row>
    <row r="42" spans="1:11" hidden="1" x14ac:dyDescent="0.35">
      <c r="A42" s="40">
        <v>46106</v>
      </c>
      <c r="B42" s="34" t="s">
        <v>119</v>
      </c>
      <c r="C42" s="34" t="s">
        <v>424</v>
      </c>
      <c r="D42" s="34" t="s">
        <v>204</v>
      </c>
      <c r="E42" s="41"/>
      <c r="F42" s="34" t="str">
        <f>IF(Taula_Seguiment[[#This Row],[Comentari]]=F$1,Taula_Seguiment[[#This Row],[Alumne]],"")</f>
        <v/>
      </c>
      <c r="G42" s="34" t="str">
        <f>IF(Taula_Seguiment[[#This Row],[Comentari]]=G$1,Taula_Seguiment[[#This Row],[Alumne]],"")</f>
        <v/>
      </c>
      <c r="H42" s="34" t="str">
        <f>IF(Taula_Seguiment[[#This Row],[Comentari]]=H$1,Taula_Seguiment[[#This Row],[Alumne]],"")</f>
        <v/>
      </c>
      <c r="I42" s="34" t="str">
        <f>IF(Taula_Seguiment[[#This Row],[Empresa]]="","",_xlfn.CONCAT(Taula_Seguiment[[#This Row],[Empresa]]," (",TEXT(Taula_Seguiment[[#This Row],[Data]],"dd/mm/aaaa"),")"))</f>
        <v>DeInfo (25/03/2026)</v>
      </c>
      <c r="J42" s="34">
        <f>IFERROR(VLOOKUP(Taula_Seguiment[[#This Row],[Alumne]],Alumnes!E:AE,18,FALSE),"")</f>
        <v>0</v>
      </c>
      <c r="K42" s="34" t="str">
        <f>IFERROR(VLOOKUP(Taula_Seguiment[[#This Row],[Alumne]],Alumnes!E:AE,19,FALSE),"")</f>
        <v>Dual gen.</v>
      </c>
    </row>
    <row r="43" spans="1:11" hidden="1" x14ac:dyDescent="0.35">
      <c r="A43" s="40">
        <v>46108</v>
      </c>
      <c r="B43" s="34" t="s">
        <v>106</v>
      </c>
      <c r="C43" s="34" t="s">
        <v>394</v>
      </c>
      <c r="D43" s="34" t="s">
        <v>202</v>
      </c>
      <c r="E43" s="41"/>
      <c r="F43" s="34" t="str">
        <f>IF(Taula_Seguiment[[#This Row],[Comentari]]=F$1,Taula_Seguiment[[#This Row],[Alumne]],"")</f>
        <v>Fernandes Teixeira, Sebastian Samuel</v>
      </c>
      <c r="G43" s="34" t="str">
        <f>IF(Taula_Seguiment[[#This Row],[Comentari]]=G$1,Taula_Seguiment[[#This Row],[Alumne]],"")</f>
        <v/>
      </c>
      <c r="H43" s="34" t="str">
        <f>IF(Taula_Seguiment[[#This Row],[Comentari]]=H$1,Taula_Seguiment[[#This Row],[Alumne]],"")</f>
        <v/>
      </c>
      <c r="I43" s="34" t="str">
        <f>IF(Taula_Seguiment[[#This Row],[Empresa]]="","",_xlfn.CONCAT(Taula_Seguiment[[#This Row],[Empresa]]," (",TEXT(Taula_Seguiment[[#This Row],[Data]],"dd/mm/aaaa"),")"))</f>
        <v>Ingens-Networks (27/03/2026)</v>
      </c>
      <c r="J43" s="34">
        <f>IFERROR(VLOOKUP(Taula_Seguiment[[#This Row],[Alumne]],Alumnes!E:AE,18,FALSE),"")</f>
        <v>0</v>
      </c>
      <c r="K43" s="34" t="str">
        <f>IFERROR(VLOOKUP(Taula_Seguiment[[#This Row],[Alumne]],Alumnes!E:AE,19,FALSE),"")</f>
        <v>Dual int.</v>
      </c>
    </row>
    <row r="44" spans="1:11" hidden="1" x14ac:dyDescent="0.35">
      <c r="A44" s="40">
        <v>46119</v>
      </c>
      <c r="C44" s="34" t="s">
        <v>438</v>
      </c>
      <c r="D44" s="34" t="s">
        <v>391</v>
      </c>
      <c r="E44" s="41" t="s">
        <v>442</v>
      </c>
      <c r="F44" s="34" t="str">
        <f>IF(Taula_Seguiment[[#This Row],[Comentari]]=F$1,Taula_Seguiment[[#This Row],[Alumne]],"")</f>
        <v/>
      </c>
      <c r="G44" s="34" t="str">
        <f>IF(Taula_Seguiment[[#This Row],[Comentari]]=G$1,Taula_Seguiment[[#This Row],[Alumne]],"")</f>
        <v/>
      </c>
      <c r="H44" s="34" t="str">
        <f>IF(Taula_Seguiment[[#This Row],[Comentari]]=H$1,Taula_Seguiment[[#This Row],[Alumne]],"")</f>
        <v/>
      </c>
      <c r="I44" s="34" t="str">
        <f>IF(Taula_Seguiment[[#This Row],[Empresa]]="","",_xlfn.CONCAT(Taula_Seguiment[[#This Row],[Empresa]]," (",TEXT(Taula_Seguiment[[#This Row],[Data]],"dd/mm/aaaa"),")"))</f>
        <v>Eada (07/04/2026)</v>
      </c>
      <c r="J44" s="34" t="str">
        <f>IFERROR(VLOOKUP(Taula_Seguiment[[#This Row],[Alumne]],Alumnes!E:AE,18,FALSE),"")</f>
        <v/>
      </c>
      <c r="K44" s="34" t="str">
        <f>IFERROR(VLOOKUP(Taula_Seguiment[[#This Row],[Alumne]],Alumnes!E:AE,19,FALSE),"")</f>
        <v/>
      </c>
    </row>
    <row r="45" spans="1:11" hidden="1" x14ac:dyDescent="0.35">
      <c r="A45" s="40">
        <v>46122</v>
      </c>
      <c r="C45" s="34" t="s">
        <v>443</v>
      </c>
      <c r="D45" s="34" t="s">
        <v>208</v>
      </c>
      <c r="E45" s="41"/>
      <c r="F45" s="34" t="str">
        <f>IF(Taula_Seguiment[[#This Row],[Comentari]]=F$1,Taula_Seguiment[[#This Row],[Alumne]],"")</f>
        <v/>
      </c>
      <c r="G45" s="34" t="str">
        <f>IF(Taula_Seguiment[[#This Row],[Comentari]]=G$1,Taula_Seguiment[[#This Row],[Alumne]],"")</f>
        <v/>
      </c>
      <c r="H45" s="34" t="str">
        <f>IF(Taula_Seguiment[[#This Row],[Comentari]]=H$1,Taula_Seguiment[[#This Row],[Alumne]],"")</f>
        <v/>
      </c>
      <c r="I45" s="34" t="str">
        <f>IF(Taula_Seguiment[[#This Row],[Empresa]]="","",_xlfn.CONCAT(Taula_Seguiment[[#This Row],[Empresa]]," (",TEXT(Taula_Seguiment[[#This Row],[Data]],"dd/mm/aaaa"),")"))</f>
        <v>NetLand (10/04/2026)</v>
      </c>
      <c r="J45" s="34" t="str">
        <f>IFERROR(VLOOKUP(Taula_Seguiment[[#This Row],[Alumne]],Alumnes!E:AE,18,FALSE),"")</f>
        <v/>
      </c>
      <c r="K45" s="34" t="str">
        <f>IFERROR(VLOOKUP(Taula_Seguiment[[#This Row],[Alumne]],Alumnes!E:AE,19,FALSE),"")</f>
        <v/>
      </c>
    </row>
    <row r="46" spans="1:11" hidden="1" x14ac:dyDescent="0.35">
      <c r="A46" s="40">
        <v>46122</v>
      </c>
      <c r="C46" s="34" t="s">
        <v>448</v>
      </c>
      <c r="D46" s="34" t="s">
        <v>208</v>
      </c>
      <c r="E46" s="41"/>
      <c r="F46" s="34" t="str">
        <f>IF(Taula_Seguiment[[#This Row],[Comentari]]=F$1,Taula_Seguiment[[#This Row],[Alumne]],"")</f>
        <v/>
      </c>
      <c r="G46" s="34" t="str">
        <f>IF(Taula_Seguiment[[#This Row],[Comentari]]=G$1,Taula_Seguiment[[#This Row],[Alumne]],"")</f>
        <v/>
      </c>
      <c r="H46" s="34" t="str">
        <f>IF(Taula_Seguiment[[#This Row],[Comentari]]=H$1,Taula_Seguiment[[#This Row],[Alumne]],"")</f>
        <v/>
      </c>
      <c r="I46" s="34" t="str">
        <f>IF(Taula_Seguiment[[#This Row],[Empresa]]="","",_xlfn.CONCAT(Taula_Seguiment[[#This Row],[Empresa]]," (",TEXT(Taula_Seguiment[[#This Row],[Data]],"dd/mm/aaaa"),")"))</f>
        <v>Servei Meteorologic (10/04/2026)</v>
      </c>
      <c r="J46" s="34" t="str">
        <f>IFERROR(VLOOKUP(Taula_Seguiment[[#This Row],[Alumne]],Alumnes!E:AE,18,FALSE),"")</f>
        <v/>
      </c>
      <c r="K46" s="34" t="str">
        <f>IFERROR(VLOOKUP(Taula_Seguiment[[#This Row],[Alumne]],Alumnes!E:AE,19,FALSE),"")</f>
        <v/>
      </c>
    </row>
    <row r="47" spans="1:11" hidden="1" x14ac:dyDescent="0.35">
      <c r="A47" s="40">
        <v>46127</v>
      </c>
      <c r="B47" s="34" t="s">
        <v>122</v>
      </c>
      <c r="C47" s="34" t="s">
        <v>438</v>
      </c>
      <c r="D47" s="34" t="s">
        <v>202</v>
      </c>
      <c r="E47" s="41"/>
      <c r="F47" s="34" t="str">
        <f>IF(Taula_Seguiment[[#This Row],[Comentari]]=F$1,Taula_Seguiment[[#This Row],[Alumne]],"")</f>
        <v>Miller Villalobos, Sheila</v>
      </c>
      <c r="G47" s="34" t="str">
        <f>IF(Taula_Seguiment[[#This Row],[Comentari]]=G$1,Taula_Seguiment[[#This Row],[Alumne]],"")</f>
        <v/>
      </c>
      <c r="H47" s="34" t="str">
        <f>IF(Taula_Seguiment[[#This Row],[Comentari]]=H$1,Taula_Seguiment[[#This Row],[Alumne]],"")</f>
        <v/>
      </c>
      <c r="I47" s="34" t="str">
        <f>IF(Taula_Seguiment[[#This Row],[Empresa]]="","",_xlfn.CONCAT(Taula_Seguiment[[#This Row],[Empresa]]," (",TEXT(Taula_Seguiment[[#This Row],[Data]],"dd/mm/aaaa"),")"))</f>
        <v>Eada (15/04/2026)</v>
      </c>
      <c r="J47" s="34">
        <f>IFERROR(VLOOKUP(Taula_Seguiment[[#This Row],[Alumne]],Alumnes!E:AE,18,FALSE),"")</f>
        <v>0</v>
      </c>
      <c r="K47" s="34" t="str">
        <f>IFERROR(VLOOKUP(Taula_Seguiment[[#This Row],[Alumne]],Alumnes!E:AE,19,FALSE),"")</f>
        <v>Dual gen.</v>
      </c>
    </row>
    <row r="48" spans="1:11" hidden="1" x14ac:dyDescent="0.35">
      <c r="A48" s="40">
        <v>46127</v>
      </c>
      <c r="B48" s="34" t="s">
        <v>144</v>
      </c>
      <c r="C48" s="34" t="s">
        <v>438</v>
      </c>
      <c r="D48" s="34" t="s">
        <v>202</v>
      </c>
      <c r="E48" s="41"/>
      <c r="F48" s="34" t="str">
        <f>IF(Taula_Seguiment[[#This Row],[Comentari]]=F$1,Taula_Seguiment[[#This Row],[Alumne]],"")</f>
        <v>Xu, Montserrat</v>
      </c>
      <c r="G48" s="34" t="str">
        <f>IF(Taula_Seguiment[[#This Row],[Comentari]]=G$1,Taula_Seguiment[[#This Row],[Alumne]],"")</f>
        <v/>
      </c>
      <c r="H48" s="34" t="str">
        <f>IF(Taula_Seguiment[[#This Row],[Comentari]]=H$1,Taula_Seguiment[[#This Row],[Alumne]],"")</f>
        <v/>
      </c>
      <c r="I48" s="34" t="str">
        <f>IF(Taula_Seguiment[[#This Row],[Empresa]]="","",_xlfn.CONCAT(Taula_Seguiment[[#This Row],[Empresa]]," (",TEXT(Taula_Seguiment[[#This Row],[Data]],"dd/mm/aaaa"),")"))</f>
        <v>Eada (15/04/2026)</v>
      </c>
      <c r="J48" s="34">
        <f>IFERROR(VLOOKUP(Taula_Seguiment[[#This Row],[Alumne]],Alumnes!E:AE,18,FALSE),"")</f>
        <v>0</v>
      </c>
      <c r="K48" s="34" t="str">
        <f>IFERROR(VLOOKUP(Taula_Seguiment[[#This Row],[Alumne]],Alumnes!E:AE,19,FALSE),"")</f>
        <v>Dual gen.</v>
      </c>
    </row>
    <row r="49" spans="1:11" hidden="1" x14ac:dyDescent="0.35">
      <c r="A49" s="40">
        <v>46127</v>
      </c>
      <c r="B49" s="34" t="s">
        <v>116</v>
      </c>
      <c r="C49" s="34" t="s">
        <v>448</v>
      </c>
      <c r="D49" s="34" t="s">
        <v>202</v>
      </c>
      <c r="E49" s="41"/>
      <c r="F49" s="34" t="str">
        <f>IF(Taula_Seguiment[[#This Row],[Comentari]]=F$1,Taula_Seguiment[[#This Row],[Alumne]],"")</f>
        <v>Jurado Borrell, Hugo</v>
      </c>
      <c r="G49" s="34" t="str">
        <f>IF(Taula_Seguiment[[#This Row],[Comentari]]=G$1,Taula_Seguiment[[#This Row],[Alumne]],"")</f>
        <v/>
      </c>
      <c r="H49" s="34" t="str">
        <f>IF(Taula_Seguiment[[#This Row],[Comentari]]=H$1,Taula_Seguiment[[#This Row],[Alumne]],"")</f>
        <v/>
      </c>
      <c r="I49" s="34" t="str">
        <f>IF(Taula_Seguiment[[#This Row],[Empresa]]="","",_xlfn.CONCAT(Taula_Seguiment[[#This Row],[Empresa]]," (",TEXT(Taula_Seguiment[[#This Row],[Data]],"dd/mm/aaaa"),")"))</f>
        <v>Servei Meteorologic (15/04/2026)</v>
      </c>
      <c r="J49" s="34">
        <f>IFERROR(VLOOKUP(Taula_Seguiment[[#This Row],[Alumne]],Alumnes!E:AE,18,FALSE),"")</f>
        <v>0</v>
      </c>
      <c r="K49" s="34" t="str">
        <f>IFERROR(VLOOKUP(Taula_Seguiment[[#This Row],[Alumne]],Alumnes!E:AE,19,FALSE),"")</f>
        <v>Dual int.</v>
      </c>
    </row>
    <row r="50" spans="1:11" hidden="1" x14ac:dyDescent="0.35">
      <c r="A50" s="40">
        <v>46127</v>
      </c>
      <c r="B50" s="34" t="s">
        <v>135</v>
      </c>
      <c r="C50" s="34" t="s">
        <v>452</v>
      </c>
      <c r="D50" s="34" t="s">
        <v>202</v>
      </c>
      <c r="E50" s="41"/>
      <c r="F50" s="34" t="str">
        <f>IF(Taula_Seguiment[[#This Row],[Comentari]]=F$1,Taula_Seguiment[[#This Row],[Alumne]],"")</f>
        <v>Rodríguez González, Mario</v>
      </c>
      <c r="G50" s="34" t="str">
        <f>IF(Taula_Seguiment[[#This Row],[Comentari]]=G$1,Taula_Seguiment[[#This Row],[Alumne]],"")</f>
        <v/>
      </c>
      <c r="H50" s="34" t="str">
        <f>IF(Taula_Seguiment[[#This Row],[Comentari]]=H$1,Taula_Seguiment[[#This Row],[Alumne]],"")</f>
        <v/>
      </c>
      <c r="I50" s="34" t="str">
        <f>IF(Taula_Seguiment[[#This Row],[Empresa]]="","",_xlfn.CONCAT(Taula_Seguiment[[#This Row],[Empresa]]," (",TEXT(Taula_Seguiment[[#This Row],[Data]],"dd/mm/aaaa"),")"))</f>
        <v>Deutsche Telekom Global Business ( T-Systems) (15/04/2026)</v>
      </c>
      <c r="J50" s="34">
        <f>IFERROR(VLOOKUP(Taula_Seguiment[[#This Row],[Alumne]],Alumnes!E:AE,18,FALSE),"")</f>
        <v>0</v>
      </c>
      <c r="K50" s="34" t="str">
        <f>IFERROR(VLOOKUP(Taula_Seguiment[[#This Row],[Alumne]],Alumnes!E:AE,19,FALSE),"")</f>
        <v>Dual int.</v>
      </c>
    </row>
    <row r="51" spans="1:11" x14ac:dyDescent="0.35">
      <c r="A51" s="40">
        <v>46127</v>
      </c>
      <c r="B51" s="34" t="s">
        <v>79</v>
      </c>
      <c r="C51" s="34" t="s">
        <v>452</v>
      </c>
      <c r="D51" s="34" t="s">
        <v>202</v>
      </c>
      <c r="E51" s="41"/>
      <c r="F51" s="34" t="str">
        <f>IF(Taula_Seguiment[[#This Row],[Comentari]]=F$1,Taula_Seguiment[[#This Row],[Alumne]],"")</f>
        <v>Benítes Zambrano, David</v>
      </c>
      <c r="G51" s="34" t="str">
        <f>IF(Taula_Seguiment[[#This Row],[Comentari]]=G$1,Taula_Seguiment[[#This Row],[Alumne]],"")</f>
        <v/>
      </c>
      <c r="H51" s="34" t="str">
        <f>IF(Taula_Seguiment[[#This Row],[Comentari]]=H$1,Taula_Seguiment[[#This Row],[Alumne]],"")</f>
        <v/>
      </c>
      <c r="I51" s="34" t="str">
        <f>IF(Taula_Seguiment[[#This Row],[Empresa]]="","",_xlfn.CONCAT(Taula_Seguiment[[#This Row],[Empresa]]," (",TEXT(Taula_Seguiment[[#This Row],[Data]],"dd/mm/aaaa"),")"))</f>
        <v>Deutsche Telekom Global Business ( T-Systems) (15/04/2026)</v>
      </c>
      <c r="J51" s="34">
        <f>IFERROR(VLOOKUP(Taula_Seguiment[[#This Row],[Alumne]],Alumnes!E:AE,18,FALSE),"")</f>
        <v>0</v>
      </c>
      <c r="K51" s="34" t="str">
        <f>IFERROR(VLOOKUP(Taula_Seguiment[[#This Row],[Alumne]],Alumnes!E:AE,19,FALSE),"")</f>
        <v>Dual int.</v>
      </c>
    </row>
    <row r="52" spans="1:11" hidden="1" x14ac:dyDescent="0.35">
      <c r="A52" s="40">
        <v>15</v>
      </c>
      <c r="C52" s="34" t="s">
        <v>455</v>
      </c>
      <c r="D52" s="34" t="s">
        <v>208</v>
      </c>
      <c r="E52" s="41"/>
      <c r="F52" s="34" t="str">
        <f>IF(Taula_Seguiment[[#This Row],[Comentari]]=F$1,Taula_Seguiment[[#This Row],[Alumne]],"")</f>
        <v/>
      </c>
      <c r="G52" s="34" t="str">
        <f>IF(Taula_Seguiment[[#This Row],[Comentari]]=G$1,Taula_Seguiment[[#This Row],[Alumne]],"")</f>
        <v/>
      </c>
      <c r="H52" s="34" t="str">
        <f>IF(Taula_Seguiment[[#This Row],[Comentari]]=H$1,Taula_Seguiment[[#This Row],[Alumne]],"")</f>
        <v/>
      </c>
      <c r="I52" s="34" t="str">
        <f>IF(Taula_Seguiment[[#This Row],[Empresa]]="","",_xlfn.CONCAT(Taula_Seguiment[[#This Row],[Empresa]]," (",TEXT(Taula_Seguiment[[#This Row],[Data]],"dd/mm/aaaa"),")"))</f>
        <v>Atrevia (15/01/1900)</v>
      </c>
      <c r="J52" s="34" t="str">
        <f>IFERROR(VLOOKUP(Taula_Seguiment[[#This Row],[Alumne]],Alumnes!E:AE,18,FALSE),"")</f>
        <v/>
      </c>
      <c r="K52" s="34" t="str">
        <f>IFERROR(VLOOKUP(Taula_Seguiment[[#This Row],[Alumne]],Alumnes!E:AE,19,FALSE),"")</f>
        <v/>
      </c>
    </row>
    <row r="53" spans="1:11" hidden="1" x14ac:dyDescent="0.35">
      <c r="A53" s="40">
        <v>46128</v>
      </c>
      <c r="B53" s="34" t="s">
        <v>122</v>
      </c>
      <c r="C53" s="34" t="s">
        <v>438</v>
      </c>
      <c r="D53" s="34" t="s">
        <v>459</v>
      </c>
      <c r="E53" s="41"/>
      <c r="F53" s="34" t="str">
        <f>IF(Taula_Seguiment[[#This Row],[Comentari]]=F$1,Taula_Seguiment[[#This Row],[Alumne]],"")</f>
        <v/>
      </c>
      <c r="G53" s="34" t="str">
        <f>IF(Taula_Seguiment[[#This Row],[Comentari]]=G$1,Taula_Seguiment[[#This Row],[Alumne]],"")</f>
        <v/>
      </c>
      <c r="H53" s="34" t="str">
        <f>IF(Taula_Seguiment[[#This Row],[Comentari]]=H$1,Taula_Seguiment[[#This Row],[Alumne]],"")</f>
        <v>Miller Villalobos, Sheila</v>
      </c>
      <c r="I53" s="34" t="str">
        <f>IF(Taula_Seguiment[[#This Row],[Empresa]]="","",_xlfn.CONCAT(Taula_Seguiment[[#This Row],[Empresa]]," (",TEXT(Taula_Seguiment[[#This Row],[Data]],"dd/mm/aaaa"),")"))</f>
        <v>Eada (16/04/2026)</v>
      </c>
      <c r="J53" s="34">
        <f>IFERROR(VLOOKUP(Taula_Seguiment[[#This Row],[Alumne]],Alumnes!E:AE,18,FALSE),"")</f>
        <v>0</v>
      </c>
      <c r="K53" s="34" t="str">
        <f>IFERROR(VLOOKUP(Taula_Seguiment[[#This Row],[Alumne]],Alumnes!E:AE,19,FALSE),"")</f>
        <v>Dual gen.</v>
      </c>
    </row>
    <row r="54" spans="1:11" hidden="1" x14ac:dyDescent="0.35">
      <c r="A54" s="40">
        <v>46128</v>
      </c>
      <c r="B54" s="34" t="s">
        <v>144</v>
      </c>
      <c r="C54" s="34" t="s">
        <v>438</v>
      </c>
      <c r="D54" s="34" t="s">
        <v>459</v>
      </c>
      <c r="E54" s="41"/>
      <c r="F54" s="34" t="str">
        <f>IF(Taula_Seguiment[[#This Row],[Comentari]]=F$1,Taula_Seguiment[[#This Row],[Alumne]],"")</f>
        <v/>
      </c>
      <c r="G54" s="34" t="str">
        <f>IF(Taula_Seguiment[[#This Row],[Comentari]]=G$1,Taula_Seguiment[[#This Row],[Alumne]],"")</f>
        <v/>
      </c>
      <c r="H54" s="34" t="str">
        <f>IF(Taula_Seguiment[[#This Row],[Comentari]]=H$1,Taula_Seguiment[[#This Row],[Alumne]],"")</f>
        <v>Xu, Montserrat</v>
      </c>
      <c r="I54" s="34" t="str">
        <f>IF(Taula_Seguiment[[#This Row],[Empresa]]="","",_xlfn.CONCAT(Taula_Seguiment[[#This Row],[Empresa]]," (",TEXT(Taula_Seguiment[[#This Row],[Data]],"dd/mm/aaaa"),")"))</f>
        <v>Eada (16/04/2026)</v>
      </c>
      <c r="J54" s="34">
        <f>IFERROR(VLOOKUP(Taula_Seguiment[[#This Row],[Alumne]],Alumnes!E:AE,18,FALSE),"")</f>
        <v>0</v>
      </c>
      <c r="K54" s="34" t="str">
        <f>IFERROR(VLOOKUP(Taula_Seguiment[[#This Row],[Alumne]],Alumnes!E:AE,19,FALSE),"")</f>
        <v>Dual gen.</v>
      </c>
    </row>
    <row r="55" spans="1:11" hidden="1" x14ac:dyDescent="0.35">
      <c r="A55" s="40">
        <v>46132</v>
      </c>
      <c r="C55" s="34" t="s">
        <v>394</v>
      </c>
      <c r="D55" s="34" t="s">
        <v>391</v>
      </c>
      <c r="E55" s="41" t="s">
        <v>461</v>
      </c>
      <c r="F55" s="34" t="str">
        <f>IF(Taula_Seguiment[[#This Row],[Comentari]]=F$1,Taula_Seguiment[[#This Row],[Alumne]],"")</f>
        <v/>
      </c>
      <c r="G55" s="34" t="str">
        <f>IF(Taula_Seguiment[[#This Row],[Comentari]]=G$1,Taula_Seguiment[[#This Row],[Alumne]],"")</f>
        <v/>
      </c>
      <c r="H55" s="34" t="str">
        <f>IF(Taula_Seguiment[[#This Row],[Comentari]]=H$1,Taula_Seguiment[[#This Row],[Alumne]],"")</f>
        <v/>
      </c>
      <c r="I55" s="34" t="str">
        <f>IF(Taula_Seguiment[[#This Row],[Empresa]]="","",_xlfn.CONCAT(Taula_Seguiment[[#This Row],[Empresa]]," (",TEXT(Taula_Seguiment[[#This Row],[Data]],"dd/mm/aaaa"),")"))</f>
        <v>Ingens-Networks (20/04/2026)</v>
      </c>
      <c r="J55" s="34" t="str">
        <f>IFERROR(VLOOKUP(Taula_Seguiment[[#This Row],[Alumne]],Alumnes!E:AE,18,FALSE),"")</f>
        <v/>
      </c>
      <c r="K55" s="34" t="str">
        <f>IFERROR(VLOOKUP(Taula_Seguiment[[#This Row],[Alumne]],Alumnes!E:AE,19,FALSE),"")</f>
        <v/>
      </c>
    </row>
    <row r="56" spans="1:11" hidden="1" x14ac:dyDescent="0.35">
      <c r="A56" s="40">
        <v>46134</v>
      </c>
      <c r="C56" s="34" t="s">
        <v>455</v>
      </c>
      <c r="D56" s="34" t="s">
        <v>208</v>
      </c>
      <c r="E56" s="41" t="s">
        <v>462</v>
      </c>
      <c r="F56" s="34" t="str">
        <f>IF(Taula_Seguiment[[#This Row],[Comentari]]=F$1,Taula_Seguiment[[#This Row],[Alumne]],"")</f>
        <v/>
      </c>
      <c r="G56" s="34" t="str">
        <f>IF(Taula_Seguiment[[#This Row],[Comentari]]=G$1,Taula_Seguiment[[#This Row],[Alumne]],"")</f>
        <v/>
      </c>
      <c r="H56" s="34" t="str">
        <f>IF(Taula_Seguiment[[#This Row],[Comentari]]=H$1,Taula_Seguiment[[#This Row],[Alumne]],"")</f>
        <v/>
      </c>
      <c r="I56" s="34" t="str">
        <f>IF(Taula_Seguiment[[#This Row],[Empresa]]="","",_xlfn.CONCAT(Taula_Seguiment[[#This Row],[Empresa]]," (",TEXT(Taula_Seguiment[[#This Row],[Data]],"dd/mm/aaaa"),")"))</f>
        <v>Atrevia (22/04/2026)</v>
      </c>
      <c r="J56" s="34" t="str">
        <f>IFERROR(VLOOKUP(Taula_Seguiment[[#This Row],[Alumne]],Alumnes!E:AE,18,FALSE),"")</f>
        <v/>
      </c>
      <c r="K56" s="34" t="str">
        <f>IFERROR(VLOOKUP(Taula_Seguiment[[#This Row],[Alumne]],Alumnes!E:AE,19,FALSE),"")</f>
        <v/>
      </c>
    </row>
    <row r="57" spans="1:11" hidden="1" x14ac:dyDescent="0.35">
      <c r="A57" s="40">
        <v>46135</v>
      </c>
      <c r="C57" s="34" t="s">
        <v>448</v>
      </c>
      <c r="D57" s="34" t="s">
        <v>212</v>
      </c>
      <c r="E57" s="41" t="s">
        <v>463</v>
      </c>
      <c r="F57" s="34" t="str">
        <f>IF(Taula_Seguiment[[#This Row],[Comentari]]=F$1,Taula_Seguiment[[#This Row],[Alumne]],"")</f>
        <v/>
      </c>
      <c r="G57" s="34" t="str">
        <f>IF(Taula_Seguiment[[#This Row],[Comentari]]=G$1,Taula_Seguiment[[#This Row],[Alumne]],"")</f>
        <v/>
      </c>
      <c r="H57" s="34" t="str">
        <f>IF(Taula_Seguiment[[#This Row],[Comentari]]=H$1,Taula_Seguiment[[#This Row],[Alumne]],"")</f>
        <v/>
      </c>
      <c r="I57" s="34" t="str">
        <f>IF(Taula_Seguiment[[#This Row],[Empresa]]="","",_xlfn.CONCAT(Taula_Seguiment[[#This Row],[Empresa]]," (",TEXT(Taula_Seguiment[[#This Row],[Data]],"dd/mm/aaaa"),")"))</f>
        <v>Servei Meteorologic (23/04/2026)</v>
      </c>
      <c r="J57" s="34" t="str">
        <f>IFERROR(VLOOKUP(Taula_Seguiment[[#This Row],[Alumne]],Alumnes!E:AE,18,FALSE),"")</f>
        <v/>
      </c>
      <c r="K57" s="34" t="str">
        <f>IFERROR(VLOOKUP(Taula_Seguiment[[#This Row],[Alumne]],Alumnes!E:AE,19,FALSE),"")</f>
        <v/>
      </c>
    </row>
    <row r="58" spans="1:11" hidden="1" x14ac:dyDescent="0.35">
      <c r="A58" s="40">
        <v>46135</v>
      </c>
      <c r="B58" s="34" t="s">
        <v>82</v>
      </c>
      <c r="C58" s="34" t="s">
        <v>448</v>
      </c>
      <c r="D58" s="34" t="s">
        <v>202</v>
      </c>
      <c r="E58" s="41"/>
      <c r="F58" s="34" t="str">
        <f>IF(Taula_Seguiment[[#This Row],[Comentari]]=F$1,Taula_Seguiment[[#This Row],[Alumne]],"")</f>
        <v>Bonfil Valldeperas, Arnau</v>
      </c>
      <c r="G58" s="34" t="str">
        <f>IF(Taula_Seguiment[[#This Row],[Comentari]]=G$1,Taula_Seguiment[[#This Row],[Alumne]],"")</f>
        <v/>
      </c>
      <c r="H58" s="34" t="str">
        <f>IF(Taula_Seguiment[[#This Row],[Comentari]]=H$1,Taula_Seguiment[[#This Row],[Alumne]],"")</f>
        <v/>
      </c>
      <c r="I58" s="34" t="str">
        <f>IF(Taula_Seguiment[[#This Row],[Empresa]]="","",_xlfn.CONCAT(Taula_Seguiment[[#This Row],[Empresa]]," (",TEXT(Taula_Seguiment[[#This Row],[Data]],"dd/mm/aaaa"),")"))</f>
        <v>Servei Meteorologic (23/04/2026)</v>
      </c>
      <c r="J58" s="34">
        <f>IFERROR(VLOOKUP(Taula_Seguiment[[#This Row],[Alumne]],Alumnes!E:AE,18,FALSE),"")</f>
        <v>0</v>
      </c>
      <c r="K58" s="34" t="str">
        <f>IFERROR(VLOOKUP(Taula_Seguiment[[#This Row],[Alumne]],Alumnes!E:AE,19,FALSE),"")</f>
        <v>Dual int.</v>
      </c>
    </row>
    <row r="59" spans="1:11" hidden="1" x14ac:dyDescent="0.35">
      <c r="A59" s="40">
        <v>46135</v>
      </c>
      <c r="B59" s="34" t="s">
        <v>91</v>
      </c>
      <c r="C59" s="34" t="s">
        <v>448</v>
      </c>
      <c r="D59" s="34" t="s">
        <v>202</v>
      </c>
      <c r="E59" s="41"/>
      <c r="F59" s="34" t="str">
        <f>IF(Taula_Seguiment[[#This Row],[Comentari]]=F$1,Taula_Seguiment[[#This Row],[Alumne]],"")</f>
        <v>Chavero Grande, Pau</v>
      </c>
      <c r="G59" s="34" t="str">
        <f>IF(Taula_Seguiment[[#This Row],[Comentari]]=G$1,Taula_Seguiment[[#This Row],[Alumne]],"")</f>
        <v/>
      </c>
      <c r="H59" s="34" t="str">
        <f>IF(Taula_Seguiment[[#This Row],[Comentari]]=H$1,Taula_Seguiment[[#This Row],[Alumne]],"")</f>
        <v/>
      </c>
      <c r="I59" s="34" t="str">
        <f>IF(Taula_Seguiment[[#This Row],[Empresa]]="","",_xlfn.CONCAT(Taula_Seguiment[[#This Row],[Empresa]]," (",TEXT(Taula_Seguiment[[#This Row],[Data]],"dd/mm/aaaa"),")"))</f>
        <v>Servei Meteorologic (23/04/2026)</v>
      </c>
      <c r="J59" s="34">
        <f>IFERROR(VLOOKUP(Taula_Seguiment[[#This Row],[Alumne]],Alumnes!E:AE,18,FALSE),"")</f>
        <v>0</v>
      </c>
      <c r="K59" s="34" t="str">
        <f>IFERROR(VLOOKUP(Taula_Seguiment[[#This Row],[Alumne]],Alumnes!E:AE,19,FALSE),"")</f>
        <v>Dual int.</v>
      </c>
    </row>
    <row r="60" spans="1:11" hidden="1" x14ac:dyDescent="0.35">
      <c r="A60" s="40">
        <v>46135</v>
      </c>
      <c r="B60" s="34" t="s">
        <v>106</v>
      </c>
      <c r="C60" s="34" t="s">
        <v>394</v>
      </c>
      <c r="D60" s="42" t="s">
        <v>59</v>
      </c>
      <c r="E60" s="41"/>
      <c r="F60" s="34" t="str">
        <f>IF(Taula_Seguiment[[#This Row],[Comentari]]=F$1,Taula_Seguiment[[#This Row],[Alumne]],"")</f>
        <v/>
      </c>
      <c r="G60" s="34" t="str">
        <f>IF(Taula_Seguiment[[#This Row],[Comentari]]=G$1,Taula_Seguiment[[#This Row],[Alumne]],"")</f>
        <v/>
      </c>
      <c r="H60" s="34" t="str">
        <f>IF(Taula_Seguiment[[#This Row],[Comentari]]=H$1,Taula_Seguiment[[#This Row],[Alumne]],"")</f>
        <v/>
      </c>
      <c r="I60" s="34" t="str">
        <f>IF(Taula_Seguiment[[#This Row],[Empresa]]="","",_xlfn.CONCAT(Taula_Seguiment[[#This Row],[Empresa]]," (",TEXT(Taula_Seguiment[[#This Row],[Data]],"dd/mm/aaaa"),")"))</f>
        <v>Ingens-Networks (23/04/2026)</v>
      </c>
      <c r="J60" s="34">
        <f>IFERROR(VLOOKUP(Taula_Seguiment[[#This Row],[Alumne]],Alumnes!E:AE,18,FALSE),"")</f>
        <v>0</v>
      </c>
      <c r="K60" s="34" t="str">
        <f>IFERROR(VLOOKUP(Taula_Seguiment[[#This Row],[Alumne]],Alumnes!E:AE,19,FALSE),"")</f>
        <v>Dual int.</v>
      </c>
    </row>
    <row r="61" spans="1:11" ht="29" hidden="1" x14ac:dyDescent="0.35">
      <c r="A61" s="40">
        <v>46139</v>
      </c>
      <c r="C61" s="34" t="s">
        <v>465</v>
      </c>
      <c r="D61" s="34" t="s">
        <v>391</v>
      </c>
      <c r="E61" s="41" t="s">
        <v>469</v>
      </c>
      <c r="F61" s="34" t="str">
        <f>IF(Taula_Seguiment[[#This Row],[Comentari]]=F$1,Taula_Seguiment[[#This Row],[Alumne]],"")</f>
        <v/>
      </c>
      <c r="G61" s="34" t="str">
        <f>IF(Taula_Seguiment[[#This Row],[Comentari]]=G$1,Taula_Seguiment[[#This Row],[Alumne]],"")</f>
        <v/>
      </c>
      <c r="H61" s="34" t="str">
        <f>IF(Taula_Seguiment[[#This Row],[Comentari]]=H$1,Taula_Seguiment[[#This Row],[Alumne]],"")</f>
        <v/>
      </c>
      <c r="I61" s="34" t="str">
        <f>IF(Taula_Seguiment[[#This Row],[Empresa]]="","",_xlfn.CONCAT(Taula_Seguiment[[#This Row],[Empresa]]," (",TEXT(Taula_Seguiment[[#This Row],[Data]],"dd/mm/aaaa"),")"))</f>
        <v>Vanture ESS (27/04/2026)</v>
      </c>
      <c r="J61" s="34" t="str">
        <f>IFERROR(VLOOKUP(Taula_Seguiment[[#This Row],[Alumne]],Alumnes!E:AE,18,FALSE),"")</f>
        <v/>
      </c>
      <c r="K61" s="34" t="str">
        <f>IFERROR(VLOOKUP(Taula_Seguiment[[#This Row],[Alumne]],Alumnes!E:AE,19,FALSE),"")</f>
        <v/>
      </c>
    </row>
    <row r="62" spans="1:11" hidden="1" x14ac:dyDescent="0.35">
      <c r="A62" s="40">
        <v>46139</v>
      </c>
      <c r="B62" s="34" t="s">
        <v>122</v>
      </c>
      <c r="C62" s="34" t="s">
        <v>465</v>
      </c>
      <c r="D62" s="34" t="s">
        <v>202</v>
      </c>
      <c r="E62" s="41"/>
      <c r="F62" s="34" t="str">
        <f>IF(Taula_Seguiment[[#This Row],[Comentari]]=F$1,Taula_Seguiment[[#This Row],[Alumne]],"")</f>
        <v>Miller Villalobos, Sheila</v>
      </c>
      <c r="G62" s="34" t="str">
        <f>IF(Taula_Seguiment[[#This Row],[Comentari]]=G$1,Taula_Seguiment[[#This Row],[Alumne]],"")</f>
        <v/>
      </c>
      <c r="H62" s="34" t="str">
        <f>IF(Taula_Seguiment[[#This Row],[Comentari]]=H$1,Taula_Seguiment[[#This Row],[Alumne]],"")</f>
        <v/>
      </c>
      <c r="I62" s="34" t="str">
        <f>IF(Taula_Seguiment[[#This Row],[Empresa]]="","",_xlfn.CONCAT(Taula_Seguiment[[#This Row],[Empresa]]," (",TEXT(Taula_Seguiment[[#This Row],[Data]],"dd/mm/aaaa"),")"))</f>
        <v>Vanture ESS (27/04/2026)</v>
      </c>
      <c r="J62" s="34">
        <f>IFERROR(VLOOKUP(Taula_Seguiment[[#This Row],[Alumne]],Alumnes!E:AE,18,FALSE),"")</f>
        <v>0</v>
      </c>
      <c r="K62" s="34" t="str">
        <f>IFERROR(VLOOKUP(Taula_Seguiment[[#This Row],[Alumne]],Alumnes!E:AE,19,FALSE),"")</f>
        <v>Dual gen.</v>
      </c>
    </row>
    <row r="63" spans="1:11" hidden="1" x14ac:dyDescent="0.35">
      <c r="A63" s="40">
        <v>46139</v>
      </c>
      <c r="B63" s="34" t="s">
        <v>144</v>
      </c>
      <c r="C63" s="34" t="s">
        <v>465</v>
      </c>
      <c r="D63" s="34" t="s">
        <v>202</v>
      </c>
      <c r="E63" s="41"/>
      <c r="F63" s="34" t="str">
        <f>IF(Taula_Seguiment[[#This Row],[Comentari]]=F$1,Taula_Seguiment[[#This Row],[Alumne]],"")</f>
        <v>Xu, Montserrat</v>
      </c>
      <c r="G63" s="34" t="str">
        <f>IF(Taula_Seguiment[[#This Row],[Comentari]]=G$1,Taula_Seguiment[[#This Row],[Alumne]],"")</f>
        <v/>
      </c>
      <c r="H63" s="34" t="str">
        <f>IF(Taula_Seguiment[[#This Row],[Comentari]]=H$1,Taula_Seguiment[[#This Row],[Alumne]],"")</f>
        <v/>
      </c>
      <c r="I63" s="34" t="str">
        <f>IF(Taula_Seguiment[[#This Row],[Empresa]]="","",_xlfn.CONCAT(Taula_Seguiment[[#This Row],[Empresa]]," (",TEXT(Taula_Seguiment[[#This Row],[Data]],"dd/mm/aaaa"),")"))</f>
        <v>Vanture ESS (27/04/2026)</v>
      </c>
      <c r="J63" s="34">
        <f>IFERROR(VLOOKUP(Taula_Seguiment[[#This Row],[Alumne]],Alumnes!E:AE,18,FALSE),"")</f>
        <v>0</v>
      </c>
      <c r="K63" s="34" t="str">
        <f>IFERROR(VLOOKUP(Taula_Seguiment[[#This Row],[Alumne]],Alumnes!E:AE,19,FALSE),"")</f>
        <v>Dual gen.</v>
      </c>
    </row>
    <row r="64" spans="1:11" hidden="1" x14ac:dyDescent="0.35">
      <c r="A64" s="40">
        <v>46139</v>
      </c>
      <c r="B64" s="34" t="s">
        <v>141</v>
      </c>
      <c r="C64" s="34" t="s">
        <v>465</v>
      </c>
      <c r="D64" s="34" t="s">
        <v>202</v>
      </c>
      <c r="E64" s="41"/>
      <c r="F64" s="34" t="str">
        <f>IF(Taula_Seguiment[[#This Row],[Comentari]]=F$1,Taula_Seguiment[[#This Row],[Alumne]],"")</f>
        <v>Simarro González, Izan</v>
      </c>
      <c r="G64" s="34" t="str">
        <f>IF(Taula_Seguiment[[#This Row],[Comentari]]=G$1,Taula_Seguiment[[#This Row],[Alumne]],"")</f>
        <v/>
      </c>
      <c r="H64" s="34" t="str">
        <f>IF(Taula_Seguiment[[#This Row],[Comentari]]=H$1,Taula_Seguiment[[#This Row],[Alumne]],"")</f>
        <v/>
      </c>
      <c r="I64" s="34" t="str">
        <f>IF(Taula_Seguiment[[#This Row],[Empresa]]="","",_xlfn.CONCAT(Taula_Seguiment[[#This Row],[Empresa]]," (",TEXT(Taula_Seguiment[[#This Row],[Data]],"dd/mm/aaaa"),")"))</f>
        <v>Vanture ESS (27/04/2026)</v>
      </c>
      <c r="J64" s="34">
        <f>IFERROR(VLOOKUP(Taula_Seguiment[[#This Row],[Alumne]],Alumnes!E:AE,18,FALSE),"")</f>
        <v>0</v>
      </c>
      <c r="K64" s="34" t="str">
        <f>IFERROR(VLOOKUP(Taula_Seguiment[[#This Row],[Alumne]],Alumnes!E:AE,19,FALSE),"")</f>
        <v>Dual gen.</v>
      </c>
    </row>
    <row r="65" spans="1:11" hidden="1" x14ac:dyDescent="0.35">
      <c r="A65" s="40">
        <v>46140</v>
      </c>
      <c r="B65" s="34" t="s">
        <v>122</v>
      </c>
      <c r="C65" s="34" t="s">
        <v>465</v>
      </c>
      <c r="D65" s="34" t="s">
        <v>203</v>
      </c>
      <c r="E65" s="41"/>
      <c r="F65" s="34" t="str">
        <f>IF(Taula_Seguiment[[#This Row],[Comentari]]=F$1,Taula_Seguiment[[#This Row],[Alumne]],"")</f>
        <v/>
      </c>
      <c r="G65" s="34" t="str">
        <f>IF(Taula_Seguiment[[#This Row],[Comentari]]=G$1,Taula_Seguiment[[#This Row],[Alumne]],"")</f>
        <v>Miller Villalobos, Sheila</v>
      </c>
      <c r="H65" s="34" t="str">
        <f>IF(Taula_Seguiment[[#This Row],[Comentari]]=H$1,Taula_Seguiment[[#This Row],[Alumne]],"")</f>
        <v/>
      </c>
      <c r="I65" s="34" t="str">
        <f>IF(Taula_Seguiment[[#This Row],[Empresa]]="","",_xlfn.CONCAT(Taula_Seguiment[[#This Row],[Empresa]]," (",TEXT(Taula_Seguiment[[#This Row],[Data]],"dd/mm/aaaa"),")"))</f>
        <v>Vanture ESS (28/04/2026)</v>
      </c>
      <c r="J65" s="34">
        <f>IFERROR(VLOOKUP(Taula_Seguiment[[#This Row],[Alumne]],Alumnes!E:AE,18,FALSE),"")</f>
        <v>0</v>
      </c>
      <c r="K65" s="34" t="str">
        <f>IFERROR(VLOOKUP(Taula_Seguiment[[#This Row],[Alumne]],Alumnes!E:AE,19,FALSE),"")</f>
        <v>Dual gen.</v>
      </c>
    </row>
    <row r="66" spans="1:11" hidden="1" x14ac:dyDescent="0.35">
      <c r="A66" s="40">
        <v>46141</v>
      </c>
      <c r="C66" s="34" t="s">
        <v>455</v>
      </c>
      <c r="D66" s="34" t="s">
        <v>391</v>
      </c>
      <c r="E66" s="41" t="s">
        <v>471</v>
      </c>
      <c r="F66" s="34" t="str">
        <f>IF(Taula_Seguiment[[#This Row],[Comentari]]=F$1,Taula_Seguiment[[#This Row],[Alumne]],"")</f>
        <v/>
      </c>
      <c r="G66" s="34" t="str">
        <f>IF(Taula_Seguiment[[#This Row],[Comentari]]=G$1,Taula_Seguiment[[#This Row],[Alumne]],"")</f>
        <v/>
      </c>
      <c r="H66" s="34" t="str">
        <f>IF(Taula_Seguiment[[#This Row],[Comentari]]=H$1,Taula_Seguiment[[#This Row],[Alumne]],"")</f>
        <v/>
      </c>
      <c r="I66" s="34" t="str">
        <f>IF(Taula_Seguiment[[#This Row],[Empresa]]="","",_xlfn.CONCAT(Taula_Seguiment[[#This Row],[Empresa]]," (",TEXT(Taula_Seguiment[[#This Row],[Data]],"dd/mm/aaaa"),")"))</f>
        <v>Atrevia (29/04/2026)</v>
      </c>
      <c r="J66" s="34" t="str">
        <f>IFERROR(VLOOKUP(Taula_Seguiment[[#This Row],[Alumne]],Alumnes!E:AE,18,FALSE),"")</f>
        <v/>
      </c>
      <c r="K66" s="34" t="str">
        <f>IFERROR(VLOOKUP(Taula_Seguiment[[#This Row],[Alumne]],Alumnes!E:AE,19,FALSE),"")</f>
        <v/>
      </c>
    </row>
    <row r="67" spans="1:11" hidden="1" x14ac:dyDescent="0.35">
      <c r="A67" s="40">
        <v>46142</v>
      </c>
      <c r="B67" s="34" t="s">
        <v>122</v>
      </c>
      <c r="C67" s="34" t="s">
        <v>455</v>
      </c>
      <c r="D67" s="34" t="s">
        <v>202</v>
      </c>
      <c r="E67" s="41"/>
      <c r="F67" s="34" t="str">
        <f>IF(Taula_Seguiment[[#This Row],[Comentari]]=F$1,Taula_Seguiment[[#This Row],[Alumne]],"")</f>
        <v>Miller Villalobos, Sheila</v>
      </c>
      <c r="G67" s="34" t="str">
        <f>IF(Taula_Seguiment[[#This Row],[Comentari]]=G$1,Taula_Seguiment[[#This Row],[Alumne]],"")</f>
        <v/>
      </c>
      <c r="H67" s="34" t="str">
        <f>IF(Taula_Seguiment[[#This Row],[Comentari]]=H$1,Taula_Seguiment[[#This Row],[Alumne]],"")</f>
        <v/>
      </c>
      <c r="I67" s="34" t="str">
        <f>IF(Taula_Seguiment[[#This Row],[Empresa]]="","",_xlfn.CONCAT(Taula_Seguiment[[#This Row],[Empresa]]," (",TEXT(Taula_Seguiment[[#This Row],[Data]],"dd/mm/aaaa"),")"))</f>
        <v>Atrevia (30/04/2026)</v>
      </c>
      <c r="J67" s="34">
        <f>IFERROR(VLOOKUP(Taula_Seguiment[[#This Row],[Alumne]],Alumnes!E:AE,18,FALSE),"")</f>
        <v>0</v>
      </c>
      <c r="K67" s="34" t="str">
        <f>IFERROR(VLOOKUP(Taula_Seguiment[[#This Row],[Alumne]],Alumnes!E:AE,19,FALSE),"")</f>
        <v>Dual gen.</v>
      </c>
    </row>
    <row r="68" spans="1:11" hidden="1" x14ac:dyDescent="0.35">
      <c r="A68" s="40">
        <v>46142</v>
      </c>
      <c r="B68" s="34" t="s">
        <v>113</v>
      </c>
      <c r="C68" s="34" t="s">
        <v>455</v>
      </c>
      <c r="D68" s="34" t="s">
        <v>202</v>
      </c>
      <c r="E68" s="41"/>
      <c r="F68" s="34" t="str">
        <f>IF(Taula_Seguiment[[#This Row],[Comentari]]=F$1,Taula_Seguiment[[#This Row],[Alumne]],"")</f>
        <v>Guillamon Uzñate, Arnau</v>
      </c>
      <c r="G68" s="34" t="str">
        <f>IF(Taula_Seguiment[[#This Row],[Comentari]]=G$1,Taula_Seguiment[[#This Row],[Alumne]],"")</f>
        <v/>
      </c>
      <c r="H68" s="34" t="str">
        <f>IF(Taula_Seguiment[[#This Row],[Comentari]]=H$1,Taula_Seguiment[[#This Row],[Alumne]],"")</f>
        <v/>
      </c>
      <c r="I68" s="34" t="str">
        <f>IF(Taula_Seguiment[[#This Row],[Empresa]]="","",_xlfn.CONCAT(Taula_Seguiment[[#This Row],[Empresa]]," (",TEXT(Taula_Seguiment[[#This Row],[Data]],"dd/mm/aaaa"),")"))</f>
        <v>Atrevia (30/04/2026)</v>
      </c>
      <c r="J68" s="34">
        <f>IFERROR(VLOOKUP(Taula_Seguiment[[#This Row],[Alumne]],Alumnes!E:AE,18,FALSE),"")</f>
        <v>0</v>
      </c>
      <c r="K68" s="34" t="str">
        <f>IFERROR(VLOOKUP(Taula_Seguiment[[#This Row],[Alumne]],Alumnes!E:AE,19,FALSE),"")</f>
        <v>Dual gen.</v>
      </c>
    </row>
    <row r="69" spans="1:11" hidden="1" x14ac:dyDescent="0.35">
      <c r="A69" s="40">
        <v>46142</v>
      </c>
      <c r="C69" s="34" t="s">
        <v>443</v>
      </c>
      <c r="D69" s="34" t="s">
        <v>208</v>
      </c>
      <c r="E69" s="41"/>
      <c r="F69" s="34" t="str">
        <f>IF(Taula_Seguiment[[#This Row],[Comentari]]=F$1,Taula_Seguiment[[#This Row],[Alumne]],"")</f>
        <v/>
      </c>
      <c r="G69" s="34" t="str">
        <f>IF(Taula_Seguiment[[#This Row],[Comentari]]=G$1,Taula_Seguiment[[#This Row],[Alumne]],"")</f>
        <v/>
      </c>
      <c r="H69" s="34" t="str">
        <f>IF(Taula_Seguiment[[#This Row],[Comentari]]=H$1,Taula_Seguiment[[#This Row],[Alumne]],"")</f>
        <v/>
      </c>
      <c r="I69" s="34" t="str">
        <f>IF(Taula_Seguiment[[#This Row],[Empresa]]="","",_xlfn.CONCAT(Taula_Seguiment[[#This Row],[Empresa]]," (",TEXT(Taula_Seguiment[[#This Row],[Data]],"dd/mm/aaaa"),")"))</f>
        <v>NetLand (30/04/2026)</v>
      </c>
      <c r="J69" s="34" t="str">
        <f>IFERROR(VLOOKUP(Taula_Seguiment[[#This Row],[Alumne]],Alumnes!E:AE,18,FALSE),"")</f>
        <v/>
      </c>
      <c r="K69" s="34" t="str">
        <f>IFERROR(VLOOKUP(Taula_Seguiment[[#This Row],[Alumne]],Alumnes!E:AE,19,FALSE),"")</f>
        <v/>
      </c>
    </row>
    <row r="70" spans="1:11" hidden="1" x14ac:dyDescent="0.35">
      <c r="A70" s="40">
        <v>46147</v>
      </c>
      <c r="B70" s="34" t="s">
        <v>122</v>
      </c>
      <c r="C70" s="34" t="s">
        <v>472</v>
      </c>
      <c r="D70" s="34" t="s">
        <v>202</v>
      </c>
      <c r="E70" s="41"/>
      <c r="F70" s="34" t="str">
        <f>IF(Taula_Seguiment[[#This Row],[Comentari]]=F$1,Taula_Seguiment[[#This Row],[Alumne]],"")</f>
        <v>Miller Villalobos, Sheila</v>
      </c>
      <c r="G70" s="34" t="str">
        <f>IF(Taula_Seguiment[[#This Row],[Comentari]]=G$1,Taula_Seguiment[[#This Row],[Alumne]],"")</f>
        <v/>
      </c>
      <c r="H70" s="34" t="str">
        <f>IF(Taula_Seguiment[[#This Row],[Comentari]]=H$1,Taula_Seguiment[[#This Row],[Alumne]],"")</f>
        <v/>
      </c>
      <c r="I70" s="34" t="str">
        <f>IF(Taula_Seguiment[[#This Row],[Empresa]]="","",_xlfn.CONCAT(Taula_Seguiment[[#This Row],[Empresa]]," (",TEXT(Taula_Seguiment[[#This Row],[Data]],"dd/mm/aaaa"),")"))</f>
        <v>Fast Byte (05/05/2026)</v>
      </c>
      <c r="J70" s="34">
        <f>IFERROR(VLOOKUP(Taula_Seguiment[[#This Row],[Alumne]],Alumnes!E:AE,18,FALSE),"")</f>
        <v>0</v>
      </c>
      <c r="K70" s="34" t="str">
        <f>IFERROR(VLOOKUP(Taula_Seguiment[[#This Row],[Alumne]],Alumnes!E:AE,19,FALSE),"")</f>
        <v>Dual gen.</v>
      </c>
    </row>
    <row r="71" spans="1:11" hidden="1" x14ac:dyDescent="0.35">
      <c r="A71" s="40">
        <v>46147</v>
      </c>
      <c r="B71" s="34" t="s">
        <v>113</v>
      </c>
      <c r="C71" s="34" t="s">
        <v>472</v>
      </c>
      <c r="D71" s="34" t="s">
        <v>202</v>
      </c>
      <c r="E71" s="41"/>
      <c r="F71" s="34" t="str">
        <f>IF(Taula_Seguiment[[#This Row],[Comentari]]=F$1,Taula_Seguiment[[#This Row],[Alumne]],"")</f>
        <v>Guillamon Uzñate, Arnau</v>
      </c>
      <c r="G71" s="34" t="str">
        <f>IF(Taula_Seguiment[[#This Row],[Comentari]]=G$1,Taula_Seguiment[[#This Row],[Alumne]],"")</f>
        <v/>
      </c>
      <c r="H71" s="34" t="str">
        <f>IF(Taula_Seguiment[[#This Row],[Comentari]]=H$1,Taula_Seguiment[[#This Row],[Alumne]],"")</f>
        <v/>
      </c>
      <c r="I71" s="34" t="str">
        <f>IF(Taula_Seguiment[[#This Row],[Empresa]]="","",_xlfn.CONCAT(Taula_Seguiment[[#This Row],[Empresa]]," (",TEXT(Taula_Seguiment[[#This Row],[Data]],"dd/mm/aaaa"),")"))</f>
        <v>Fast Byte (05/05/2026)</v>
      </c>
      <c r="J71" s="34">
        <f>IFERROR(VLOOKUP(Taula_Seguiment[[#This Row],[Alumne]],Alumnes!E:AE,18,FALSE),"")</f>
        <v>0</v>
      </c>
      <c r="K71" s="34" t="str">
        <f>IFERROR(VLOOKUP(Taula_Seguiment[[#This Row],[Alumne]],Alumnes!E:AE,19,FALSE),"")</f>
        <v>Dual gen.</v>
      </c>
    </row>
    <row r="72" spans="1:11" hidden="1" x14ac:dyDescent="0.35">
      <c r="A72" s="40">
        <v>46147</v>
      </c>
      <c r="C72" s="34" t="s">
        <v>472</v>
      </c>
      <c r="D72" s="34" t="s">
        <v>391</v>
      </c>
      <c r="E72" s="41"/>
      <c r="F72" s="34" t="str">
        <f>IF(Taula_Seguiment[[#This Row],[Comentari]]=F$1,Taula_Seguiment[[#This Row],[Alumne]],"")</f>
        <v/>
      </c>
      <c r="G72" s="34" t="str">
        <f>IF(Taula_Seguiment[[#This Row],[Comentari]]=G$1,Taula_Seguiment[[#This Row],[Alumne]],"")</f>
        <v/>
      </c>
      <c r="H72" s="34" t="str">
        <f>IF(Taula_Seguiment[[#This Row],[Comentari]]=H$1,Taula_Seguiment[[#This Row],[Alumne]],"")</f>
        <v/>
      </c>
      <c r="I72" s="34" t="str">
        <f>IF(Taula_Seguiment[[#This Row],[Empresa]]="","",_xlfn.CONCAT(Taula_Seguiment[[#This Row],[Empresa]]," (",TEXT(Taula_Seguiment[[#This Row],[Data]],"dd/mm/aaaa"),")"))</f>
        <v>Fast Byte (05/05/2026)</v>
      </c>
      <c r="J72" s="34" t="str">
        <f>IFERROR(VLOOKUP(Taula_Seguiment[[#This Row],[Alumne]],Alumnes!E:AE,18,FALSE),"")</f>
        <v/>
      </c>
      <c r="K72" s="34" t="str">
        <f>IFERROR(VLOOKUP(Taula_Seguiment[[#This Row],[Alumne]],Alumnes!E:AE,19,FALSE),"")</f>
        <v/>
      </c>
    </row>
    <row r="73" spans="1:11" hidden="1" x14ac:dyDescent="0.35">
      <c r="A73" s="40">
        <v>46147</v>
      </c>
      <c r="C73" s="34" t="s">
        <v>443</v>
      </c>
      <c r="D73" s="34" t="s">
        <v>391</v>
      </c>
      <c r="E73" s="41"/>
      <c r="F73" s="34" t="str">
        <f>IF(Taula_Seguiment[[#This Row],[Comentari]]=F$1,Taula_Seguiment[[#This Row],[Alumne]],"")</f>
        <v/>
      </c>
      <c r="G73" s="34" t="str">
        <f>IF(Taula_Seguiment[[#This Row],[Comentari]]=G$1,Taula_Seguiment[[#This Row],[Alumne]],"")</f>
        <v/>
      </c>
      <c r="H73" s="34" t="str">
        <f>IF(Taula_Seguiment[[#This Row],[Comentari]]=H$1,Taula_Seguiment[[#This Row],[Alumne]],"")</f>
        <v/>
      </c>
      <c r="I73" s="34" t="str">
        <f>IF(Taula_Seguiment[[#This Row],[Empresa]]="","",_xlfn.CONCAT(Taula_Seguiment[[#This Row],[Empresa]]," (",TEXT(Taula_Seguiment[[#This Row],[Data]],"dd/mm/aaaa"),")"))</f>
        <v>NetLand (05/05/2026)</v>
      </c>
      <c r="J73" s="34" t="str">
        <f>IFERROR(VLOOKUP(Taula_Seguiment[[#This Row],[Alumne]],Alumnes!E:AE,18,FALSE),"")</f>
        <v/>
      </c>
      <c r="K73" s="34" t="str">
        <f>IFERROR(VLOOKUP(Taula_Seguiment[[#This Row],[Alumne]],Alumnes!E:AE,19,FALSE),"")</f>
        <v/>
      </c>
    </row>
    <row r="74" spans="1:11" hidden="1" x14ac:dyDescent="0.35">
      <c r="A74" s="40">
        <v>46147</v>
      </c>
      <c r="B74" s="34" t="s">
        <v>144</v>
      </c>
      <c r="C74" s="34" t="s">
        <v>465</v>
      </c>
      <c r="D74" s="42" t="s">
        <v>59</v>
      </c>
      <c r="E74" s="41"/>
      <c r="F74" s="34" t="str">
        <f>IF(Taula_Seguiment[[#This Row],[Comentari]]=F$1,Taula_Seguiment[[#This Row],[Alumne]],"")</f>
        <v/>
      </c>
      <c r="G74" s="34" t="str">
        <f>IF(Taula_Seguiment[[#This Row],[Comentari]]=G$1,Taula_Seguiment[[#This Row],[Alumne]],"")</f>
        <v/>
      </c>
      <c r="H74" s="34" t="str">
        <f>IF(Taula_Seguiment[[#This Row],[Comentari]]=H$1,Taula_Seguiment[[#This Row],[Alumne]],"")</f>
        <v/>
      </c>
      <c r="I74" s="34" t="str">
        <f>IF(Taula_Seguiment[[#This Row],[Empresa]]="","",_xlfn.CONCAT(Taula_Seguiment[[#This Row],[Empresa]]," (",TEXT(Taula_Seguiment[[#This Row],[Data]],"dd/mm/aaaa"),")"))</f>
        <v>Vanture ESS (05/05/2026)</v>
      </c>
      <c r="J74" s="34">
        <f>IFERROR(VLOOKUP(Taula_Seguiment[[#This Row],[Alumne]],Alumnes!E:AE,18,FALSE),"")</f>
        <v>0</v>
      </c>
      <c r="K74" s="34" t="str">
        <f>IFERROR(VLOOKUP(Taula_Seguiment[[#This Row],[Alumne]],Alumnes!E:AE,19,FALSE),"")</f>
        <v>Dual gen.</v>
      </c>
    </row>
    <row r="75" spans="1:11" hidden="1" x14ac:dyDescent="0.35">
      <c r="A75" s="40">
        <v>46147</v>
      </c>
      <c r="B75" s="34" t="s">
        <v>141</v>
      </c>
      <c r="C75" s="34" t="s">
        <v>465</v>
      </c>
      <c r="D75" s="34" t="s">
        <v>203</v>
      </c>
      <c r="E75" s="41"/>
      <c r="F75" s="34" t="str">
        <f>IF(Taula_Seguiment[[#This Row],[Comentari]]=F$1,Taula_Seguiment[[#This Row],[Alumne]],"")</f>
        <v/>
      </c>
      <c r="G75" s="34" t="str">
        <f>IF(Taula_Seguiment[[#This Row],[Comentari]]=G$1,Taula_Seguiment[[#This Row],[Alumne]],"")</f>
        <v>Simarro González, Izan</v>
      </c>
      <c r="H75" s="34" t="str">
        <f>IF(Taula_Seguiment[[#This Row],[Comentari]]=H$1,Taula_Seguiment[[#This Row],[Alumne]],"")</f>
        <v/>
      </c>
      <c r="I75" s="34" t="str">
        <f>IF(Taula_Seguiment[[#This Row],[Empresa]]="","",_xlfn.CONCAT(Taula_Seguiment[[#This Row],[Empresa]]," (",TEXT(Taula_Seguiment[[#This Row],[Data]],"dd/mm/aaaa"),")"))</f>
        <v>Vanture ESS (05/05/2026)</v>
      </c>
      <c r="J75" s="34">
        <f>IFERROR(VLOOKUP(Taula_Seguiment[[#This Row],[Alumne]],Alumnes!E:AE,18,FALSE),"")</f>
        <v>0</v>
      </c>
      <c r="K75" s="34" t="str">
        <f>IFERROR(VLOOKUP(Taula_Seguiment[[#This Row],[Alumne]],Alumnes!E:AE,19,FALSE),"")</f>
        <v>Dual gen.</v>
      </c>
    </row>
    <row r="76" spans="1:11" hidden="1" x14ac:dyDescent="0.35">
      <c r="A76" s="40">
        <v>46149</v>
      </c>
      <c r="B76" s="34" t="s">
        <v>125</v>
      </c>
      <c r="C76" s="34" t="s">
        <v>443</v>
      </c>
      <c r="D76" s="34" t="s">
        <v>202</v>
      </c>
      <c r="E76" s="41"/>
      <c r="F76" s="34" t="str">
        <f>IF(Taula_Seguiment[[#This Row],[Comentari]]=F$1,Taula_Seguiment[[#This Row],[Alumne]],"")</f>
        <v>Miravete Núñez, Tristan</v>
      </c>
      <c r="G76" s="34" t="str">
        <f>IF(Taula_Seguiment[[#This Row],[Comentari]]=G$1,Taula_Seguiment[[#This Row],[Alumne]],"")</f>
        <v/>
      </c>
      <c r="H76" s="34" t="str">
        <f>IF(Taula_Seguiment[[#This Row],[Comentari]]=H$1,Taula_Seguiment[[#This Row],[Alumne]],"")</f>
        <v/>
      </c>
      <c r="I76" s="34" t="str">
        <f>IF(Taula_Seguiment[[#This Row],[Empresa]]="","",_xlfn.CONCAT(Taula_Seguiment[[#This Row],[Empresa]]," (",TEXT(Taula_Seguiment[[#This Row],[Data]],"dd/mm/aaaa"),")"))</f>
        <v>NetLand (07/05/2026)</v>
      </c>
      <c r="J76" s="34">
        <f>IFERROR(VLOOKUP(Taula_Seguiment[[#This Row],[Alumne]],Alumnes!E:AE,18,FALSE),"")</f>
        <v>0</v>
      </c>
      <c r="K76" s="34" t="str">
        <f>IFERROR(VLOOKUP(Taula_Seguiment[[#This Row],[Alumne]],Alumnes!E:AE,19,FALSE),"")</f>
        <v>Dual gen.</v>
      </c>
    </row>
    <row r="77" spans="1:11" hidden="1" x14ac:dyDescent="0.35">
      <c r="A77" s="40">
        <v>46149</v>
      </c>
      <c r="B77" s="34" t="s">
        <v>113</v>
      </c>
      <c r="C77" s="34" t="s">
        <v>443</v>
      </c>
      <c r="D77" s="34" t="s">
        <v>202</v>
      </c>
      <c r="E77" s="41"/>
      <c r="F77" s="34" t="str">
        <f>IF(Taula_Seguiment[[#This Row],[Comentari]]=F$1,Taula_Seguiment[[#This Row],[Alumne]],"")</f>
        <v>Guillamon Uzñate, Arnau</v>
      </c>
      <c r="G77" s="34" t="str">
        <f>IF(Taula_Seguiment[[#This Row],[Comentari]]=G$1,Taula_Seguiment[[#This Row],[Alumne]],"")</f>
        <v/>
      </c>
      <c r="H77" s="34" t="str">
        <f>IF(Taula_Seguiment[[#This Row],[Comentari]]=H$1,Taula_Seguiment[[#This Row],[Alumne]],"")</f>
        <v/>
      </c>
      <c r="I77" s="34" t="str">
        <f>IF(Taula_Seguiment[[#This Row],[Empresa]]="","",_xlfn.CONCAT(Taula_Seguiment[[#This Row],[Empresa]]," (",TEXT(Taula_Seguiment[[#This Row],[Data]],"dd/mm/aaaa"),")"))</f>
        <v>NetLand (07/05/2026)</v>
      </c>
      <c r="J77" s="34">
        <f>IFERROR(VLOOKUP(Taula_Seguiment[[#This Row],[Alumne]],Alumnes!E:AE,18,FALSE),"")</f>
        <v>0</v>
      </c>
      <c r="K77" s="34" t="str">
        <f>IFERROR(VLOOKUP(Taula_Seguiment[[#This Row],[Alumne]],Alumnes!E:AE,19,FALSE),"")</f>
        <v>Dual gen.</v>
      </c>
    </row>
    <row r="78" spans="1:11" hidden="1" x14ac:dyDescent="0.35">
      <c r="A78" s="40">
        <v>46148</v>
      </c>
      <c r="B78" s="34" t="s">
        <v>116</v>
      </c>
      <c r="C78" s="34" t="s">
        <v>448</v>
      </c>
      <c r="D78" s="34" t="s">
        <v>203</v>
      </c>
      <c r="E78" s="41"/>
      <c r="F78" s="34" t="str">
        <f>IF(Taula_Seguiment[[#This Row],[Comentari]]=F$1,Taula_Seguiment[[#This Row],[Alumne]],"")</f>
        <v/>
      </c>
      <c r="G78" s="34" t="str">
        <f>IF(Taula_Seguiment[[#This Row],[Comentari]]=G$1,Taula_Seguiment[[#This Row],[Alumne]],"")</f>
        <v>Jurado Borrell, Hugo</v>
      </c>
      <c r="H78" s="34" t="str">
        <f>IF(Taula_Seguiment[[#This Row],[Comentari]]=H$1,Taula_Seguiment[[#This Row],[Alumne]],"")</f>
        <v/>
      </c>
      <c r="I78" s="34" t="str">
        <f>IF(Taula_Seguiment[[#This Row],[Empresa]]="","",_xlfn.CONCAT(Taula_Seguiment[[#This Row],[Empresa]]," (",TEXT(Taula_Seguiment[[#This Row],[Data]],"dd/mm/aaaa"),")"))</f>
        <v>Servei Meteorologic (06/05/2026)</v>
      </c>
      <c r="J78" s="34">
        <f>IFERROR(VLOOKUP(Taula_Seguiment[[#This Row],[Alumne]],Alumnes!E:AE,18,FALSE),"")</f>
        <v>0</v>
      </c>
      <c r="K78" s="34" t="str">
        <f>IFERROR(VLOOKUP(Taula_Seguiment[[#This Row],[Alumne]],Alumnes!E:AE,19,FALSE),"")</f>
        <v>Dual int.</v>
      </c>
    </row>
    <row r="79" spans="1:11" hidden="1" x14ac:dyDescent="0.35">
      <c r="A79" s="40">
        <v>46148</v>
      </c>
      <c r="B79" s="34" t="s">
        <v>82</v>
      </c>
      <c r="C79" s="34" t="s">
        <v>448</v>
      </c>
      <c r="D79" s="42" t="s">
        <v>59</v>
      </c>
      <c r="E79" s="41"/>
      <c r="F79" s="34" t="str">
        <f>IF(Taula_Seguiment[[#This Row],[Comentari]]=F$1,Taula_Seguiment[[#This Row],[Alumne]],"")</f>
        <v/>
      </c>
      <c r="G79" s="34" t="str">
        <f>IF(Taula_Seguiment[[#This Row],[Comentari]]=G$1,Taula_Seguiment[[#This Row],[Alumne]],"")</f>
        <v/>
      </c>
      <c r="H79" s="34" t="str">
        <f>IF(Taula_Seguiment[[#This Row],[Comentari]]=H$1,Taula_Seguiment[[#This Row],[Alumne]],"")</f>
        <v/>
      </c>
      <c r="I79" s="34" t="str">
        <f>IF(Taula_Seguiment[[#This Row],[Empresa]]="","",_xlfn.CONCAT(Taula_Seguiment[[#This Row],[Empresa]]," (",TEXT(Taula_Seguiment[[#This Row],[Data]],"dd/mm/aaaa"),")"))</f>
        <v>Servei Meteorologic (06/05/2026)</v>
      </c>
      <c r="J79" s="34">
        <f>IFERROR(VLOOKUP(Taula_Seguiment[[#This Row],[Alumne]],Alumnes!E:AE,18,FALSE),"")</f>
        <v>0</v>
      </c>
      <c r="K79" s="34" t="str">
        <f>IFERROR(VLOOKUP(Taula_Seguiment[[#This Row],[Alumne]],Alumnes!E:AE,19,FALSE),"")</f>
        <v>Dual int.</v>
      </c>
    </row>
    <row r="80" spans="1:11" hidden="1" x14ac:dyDescent="0.35">
      <c r="A80" s="40">
        <v>46148</v>
      </c>
      <c r="B80" s="34" t="s">
        <v>91</v>
      </c>
      <c r="C80" s="34" t="s">
        <v>448</v>
      </c>
      <c r="D80" s="34" t="s">
        <v>203</v>
      </c>
      <c r="E80" s="41"/>
      <c r="F80" s="34" t="str">
        <f>IF(Taula_Seguiment[[#This Row],[Comentari]]=F$1,Taula_Seguiment[[#This Row],[Alumne]],"")</f>
        <v/>
      </c>
      <c r="G80" s="34" t="str">
        <f>IF(Taula_Seguiment[[#This Row],[Comentari]]=G$1,Taula_Seguiment[[#This Row],[Alumne]],"")</f>
        <v>Chavero Grande, Pau</v>
      </c>
      <c r="H80" s="34" t="str">
        <f>IF(Taula_Seguiment[[#This Row],[Comentari]]=H$1,Taula_Seguiment[[#This Row],[Alumne]],"")</f>
        <v/>
      </c>
      <c r="I80" s="34" t="str">
        <f>IF(Taula_Seguiment[[#This Row],[Empresa]]="","",_xlfn.CONCAT(Taula_Seguiment[[#This Row],[Empresa]]," (",TEXT(Taula_Seguiment[[#This Row],[Data]],"dd/mm/aaaa"),")"))</f>
        <v>Servei Meteorologic (06/05/2026)</v>
      </c>
      <c r="J80" s="34">
        <f>IFERROR(VLOOKUP(Taula_Seguiment[[#This Row],[Alumne]],Alumnes!E:AE,18,FALSE),"")</f>
        <v>0</v>
      </c>
      <c r="K80" s="34" t="str">
        <f>IFERROR(VLOOKUP(Taula_Seguiment[[#This Row],[Alumne]],Alumnes!E:AE,19,FALSE),"")</f>
        <v>Dual int.</v>
      </c>
    </row>
    <row r="81" spans="1:11" hidden="1" x14ac:dyDescent="0.35">
      <c r="A81" s="40">
        <v>46135</v>
      </c>
      <c r="B81" s="34" t="s">
        <v>98</v>
      </c>
      <c r="C81" s="34" t="s">
        <v>394</v>
      </c>
      <c r="D81" s="34" t="s">
        <v>203</v>
      </c>
      <c r="E81" s="41"/>
      <c r="F81" s="34" t="str">
        <f>IF(Taula_Seguiment[[#This Row],[Comentari]]=F$1,Taula_Seguiment[[#This Row],[Alumne]],"")</f>
        <v/>
      </c>
      <c r="G81" s="34" t="str">
        <f>IF(Taula_Seguiment[[#This Row],[Comentari]]=G$1,Taula_Seguiment[[#This Row],[Alumne]],"")</f>
        <v>Dublanche, Alexis Stéphane Fran</v>
      </c>
      <c r="H81" s="34" t="str">
        <f>IF(Taula_Seguiment[[#This Row],[Comentari]]=H$1,Taula_Seguiment[[#This Row],[Alumne]],"")</f>
        <v/>
      </c>
      <c r="I81" s="34" t="str">
        <f>IF(Taula_Seguiment[[#This Row],[Empresa]]="","",_xlfn.CONCAT(Taula_Seguiment[[#This Row],[Empresa]]," (",TEXT(Taula_Seguiment[[#This Row],[Data]],"dd/mm/aaaa"),")"))</f>
        <v>Ingens-Networks (23/04/2026)</v>
      </c>
      <c r="J81" s="34">
        <f>IFERROR(VLOOKUP(Taula_Seguiment[[#This Row],[Alumne]],Alumnes!E:AE,18,FALSE),"")</f>
        <v>0</v>
      </c>
      <c r="K81" s="34" t="str">
        <f>IFERROR(VLOOKUP(Taula_Seguiment[[#This Row],[Alumne]],Alumnes!E:AE,19,FALSE),"")</f>
        <v>Dual int.</v>
      </c>
    </row>
    <row r="82" spans="1:11" hidden="1" x14ac:dyDescent="0.35">
      <c r="A82" s="40">
        <v>46149</v>
      </c>
      <c r="B82" s="34" t="s">
        <v>135</v>
      </c>
      <c r="C82" s="34" t="s">
        <v>452</v>
      </c>
      <c r="D82" s="34" t="s">
        <v>203</v>
      </c>
      <c r="E82" s="41"/>
      <c r="F82" s="34" t="str">
        <f>IF(Taula_Seguiment[[#This Row],[Comentari]]=F$1,Taula_Seguiment[[#This Row],[Alumne]],"")</f>
        <v/>
      </c>
      <c r="G82" s="34" t="str">
        <f>IF(Taula_Seguiment[[#This Row],[Comentari]]=G$1,Taula_Seguiment[[#This Row],[Alumne]],"")</f>
        <v>Rodríguez González, Mario</v>
      </c>
      <c r="H82" s="34" t="str">
        <f>IF(Taula_Seguiment[[#This Row],[Comentari]]=H$1,Taula_Seguiment[[#This Row],[Alumne]],"")</f>
        <v/>
      </c>
      <c r="I82" s="34" t="str">
        <f>IF(Taula_Seguiment[[#This Row],[Empresa]]="","",_xlfn.CONCAT(Taula_Seguiment[[#This Row],[Empresa]]," (",TEXT(Taula_Seguiment[[#This Row],[Data]],"dd/mm/aaaa"),")"))</f>
        <v>Deutsche Telekom Global Business ( T-Systems) (07/05/2026)</v>
      </c>
      <c r="J82" s="34">
        <f>IFERROR(VLOOKUP(Taula_Seguiment[[#This Row],[Alumne]],Alumnes!E:AE,18,FALSE),"")</f>
        <v>0</v>
      </c>
      <c r="K82" s="34" t="str">
        <f>IFERROR(VLOOKUP(Taula_Seguiment[[#This Row],[Alumne]],Alumnes!E:AE,19,FALSE),"")</f>
        <v>Dual int.</v>
      </c>
    </row>
    <row r="83" spans="1:11" hidden="1" x14ac:dyDescent="0.35">
      <c r="A83" s="40">
        <v>46149</v>
      </c>
      <c r="B83" s="34" t="s">
        <v>135</v>
      </c>
      <c r="C83" s="34" t="s">
        <v>402</v>
      </c>
      <c r="D83" s="34" t="s">
        <v>203</v>
      </c>
      <c r="E83" s="41"/>
      <c r="F83" s="34" t="str">
        <f>IF(Taula_Seguiment[[#This Row],[Comentari]]=F$1,Taula_Seguiment[[#This Row],[Alumne]],"")</f>
        <v/>
      </c>
      <c r="G83" s="34" t="str">
        <f>IF(Taula_Seguiment[[#This Row],[Comentari]]=G$1,Taula_Seguiment[[#This Row],[Alumne]],"")</f>
        <v>Rodríguez González, Mario</v>
      </c>
      <c r="H83" s="34" t="str">
        <f>IF(Taula_Seguiment[[#This Row],[Comentari]]=H$1,Taula_Seguiment[[#This Row],[Alumne]],"")</f>
        <v/>
      </c>
      <c r="I83" s="34" t="str">
        <f>IF(Taula_Seguiment[[#This Row],[Empresa]]="","",_xlfn.CONCAT(Taula_Seguiment[[#This Row],[Empresa]]," (",TEXT(Taula_Seguiment[[#This Row],[Data]],"dd/mm/aaaa"),")"))</f>
        <v>Larian Studios Spain SL (07/05/2026)</v>
      </c>
      <c r="J83" s="34">
        <f>IFERROR(VLOOKUP(Taula_Seguiment[[#This Row],[Alumne]],Alumnes!E:AE,18,FALSE),"")</f>
        <v>0</v>
      </c>
      <c r="K83" s="34" t="str">
        <f>IFERROR(VLOOKUP(Taula_Seguiment[[#This Row],[Alumne]],Alumnes!E:AE,19,FALSE),"")</f>
        <v>Dual int.</v>
      </c>
    </row>
    <row r="84" spans="1:11" x14ac:dyDescent="0.35">
      <c r="A84" s="40">
        <v>46149</v>
      </c>
      <c r="B84" s="34" t="s">
        <v>79</v>
      </c>
      <c r="C84" s="34" t="s">
        <v>402</v>
      </c>
      <c r="D84" s="34" t="s">
        <v>203</v>
      </c>
      <c r="E84" s="41"/>
      <c r="F84" s="34" t="str">
        <f>IF(Taula_Seguiment[[#This Row],[Comentari]]=F$1,Taula_Seguiment[[#This Row],[Alumne]],"")</f>
        <v/>
      </c>
      <c r="G84" s="34" t="str">
        <f>IF(Taula_Seguiment[[#This Row],[Comentari]]=G$1,Taula_Seguiment[[#This Row],[Alumne]],"")</f>
        <v>Benítes Zambrano, David</v>
      </c>
      <c r="H84" s="34" t="str">
        <f>IF(Taula_Seguiment[[#This Row],[Comentari]]=H$1,Taula_Seguiment[[#This Row],[Alumne]],"")</f>
        <v/>
      </c>
      <c r="I84" s="34" t="str">
        <f>IF(Taula_Seguiment[[#This Row],[Empresa]]="","",_xlfn.CONCAT(Taula_Seguiment[[#This Row],[Empresa]]," (",TEXT(Taula_Seguiment[[#This Row],[Data]],"dd/mm/aaaa"),")"))</f>
        <v>Larian Studios Spain SL (07/05/2026)</v>
      </c>
      <c r="J84" s="34">
        <f>IFERROR(VLOOKUP(Taula_Seguiment[[#This Row],[Alumne]],Alumnes!E:AE,18,FALSE),"")</f>
        <v>0</v>
      </c>
      <c r="K84" s="34" t="str">
        <f>IFERROR(VLOOKUP(Taula_Seguiment[[#This Row],[Alumne]],Alumnes!E:AE,19,FALSE),"")</f>
        <v>Dual int.</v>
      </c>
    </row>
    <row r="85" spans="1:11" hidden="1" x14ac:dyDescent="0.35">
      <c r="A85" s="40">
        <v>46150</v>
      </c>
      <c r="B85" s="34" t="s">
        <v>122</v>
      </c>
      <c r="C85" s="34" t="s">
        <v>455</v>
      </c>
      <c r="D85" s="42" t="s">
        <v>59</v>
      </c>
      <c r="E85" s="41"/>
      <c r="F85" s="34" t="str">
        <f>IF(Taula_Seguiment[[#This Row],[Comentari]]=F$1,Taula_Seguiment[[#This Row],[Alumne]],"")</f>
        <v/>
      </c>
      <c r="G85" s="34" t="str">
        <f>IF(Taula_Seguiment[[#This Row],[Comentari]]=G$1,Taula_Seguiment[[#This Row],[Alumne]],"")</f>
        <v/>
      </c>
      <c r="H85" s="34" t="str">
        <f>IF(Taula_Seguiment[[#This Row],[Comentari]]=H$1,Taula_Seguiment[[#This Row],[Alumne]],"")</f>
        <v/>
      </c>
      <c r="I85" s="34" t="str">
        <f>IF(Taula_Seguiment[[#This Row],[Empresa]]="","",_xlfn.CONCAT(Taula_Seguiment[[#This Row],[Empresa]]," (",TEXT(Taula_Seguiment[[#This Row],[Data]],"dd/mm/aaaa"),")"))</f>
        <v>Atrevia (08/05/2026)</v>
      </c>
      <c r="J85" s="34">
        <f>IFERROR(VLOOKUP(Taula_Seguiment[[#This Row],[Alumne]],Alumnes!E:AE,18,FALSE),"")</f>
        <v>0</v>
      </c>
      <c r="K85" s="34" t="str">
        <f>IFERROR(VLOOKUP(Taula_Seguiment[[#This Row],[Alumne]],Alumnes!E:AE,19,FALSE),"")</f>
        <v>Dual gen.</v>
      </c>
    </row>
    <row r="86" spans="1:11" hidden="1" x14ac:dyDescent="0.35">
      <c r="A86" s="40">
        <v>46150</v>
      </c>
      <c r="B86" s="34" t="s">
        <v>113</v>
      </c>
      <c r="C86" s="34" t="s">
        <v>455</v>
      </c>
      <c r="D86" s="34" t="s">
        <v>203</v>
      </c>
      <c r="E86" s="41"/>
      <c r="F86" s="34" t="str">
        <f>IF(Taula_Seguiment[[#This Row],[Comentari]]=F$1,Taula_Seguiment[[#This Row],[Alumne]],"")</f>
        <v/>
      </c>
      <c r="G86" s="34" t="str">
        <f>IF(Taula_Seguiment[[#This Row],[Comentari]]=G$1,Taula_Seguiment[[#This Row],[Alumne]],"")</f>
        <v>Guillamon Uzñate, Arnau</v>
      </c>
      <c r="H86" s="34" t="str">
        <f>IF(Taula_Seguiment[[#This Row],[Comentari]]=H$1,Taula_Seguiment[[#This Row],[Alumne]],"")</f>
        <v/>
      </c>
      <c r="I86" s="34" t="str">
        <f>IF(Taula_Seguiment[[#This Row],[Empresa]]="","",_xlfn.CONCAT(Taula_Seguiment[[#This Row],[Empresa]]," (",TEXT(Taula_Seguiment[[#This Row],[Data]],"dd/mm/aaaa"),")"))</f>
        <v>Atrevia (08/05/2026)</v>
      </c>
      <c r="J86" s="34">
        <f>IFERROR(VLOOKUP(Taula_Seguiment[[#This Row],[Alumne]],Alumnes!E:AE,18,FALSE),"")</f>
        <v>0</v>
      </c>
      <c r="K86" s="34" t="str">
        <f>IFERROR(VLOOKUP(Taula_Seguiment[[#This Row],[Alumne]],Alumnes!E:AE,19,FALSE),"")</f>
        <v>Dual gen.</v>
      </c>
    </row>
    <row r="87" spans="1:11" hidden="1" x14ac:dyDescent="0.35">
      <c r="A87" s="40">
        <v>46150</v>
      </c>
      <c r="B87" s="34" t="s">
        <v>122</v>
      </c>
      <c r="C87" s="34" t="s">
        <v>472</v>
      </c>
      <c r="D87" s="34" t="s">
        <v>459</v>
      </c>
      <c r="E87" s="41" t="s">
        <v>476</v>
      </c>
      <c r="F87" s="34" t="str">
        <f>IF(Taula_Seguiment[[#This Row],[Comentari]]=F$1,Taula_Seguiment[[#This Row],[Alumne]],"")</f>
        <v/>
      </c>
      <c r="G87" s="34" t="str">
        <f>IF(Taula_Seguiment[[#This Row],[Comentari]]=G$1,Taula_Seguiment[[#This Row],[Alumne]],"")</f>
        <v/>
      </c>
      <c r="H87" s="34" t="str">
        <f>IF(Taula_Seguiment[[#This Row],[Comentari]]=H$1,Taula_Seguiment[[#This Row],[Alumne]],"")</f>
        <v>Miller Villalobos, Sheila</v>
      </c>
      <c r="I87" s="34" t="str">
        <f>IF(Taula_Seguiment[[#This Row],[Empresa]]="","",_xlfn.CONCAT(Taula_Seguiment[[#This Row],[Empresa]]," (",TEXT(Taula_Seguiment[[#This Row],[Data]],"dd/mm/aaaa"),")"))</f>
        <v>Fast Byte (08/05/2026)</v>
      </c>
      <c r="J87" s="34">
        <f>IFERROR(VLOOKUP(Taula_Seguiment[[#This Row],[Alumne]],Alumnes!E:AE,18,FALSE),"")</f>
        <v>0</v>
      </c>
      <c r="K87" s="34" t="str">
        <f>IFERROR(VLOOKUP(Taula_Seguiment[[#This Row],[Alumne]],Alumnes!E:AE,19,FALSE),"")</f>
        <v>Dual gen.</v>
      </c>
    </row>
    <row r="88" spans="1:11" hidden="1" x14ac:dyDescent="0.35">
      <c r="A88" s="40">
        <v>46150</v>
      </c>
      <c r="C88" s="34" t="s">
        <v>478</v>
      </c>
      <c r="D88" s="34" t="s">
        <v>208</v>
      </c>
      <c r="E88" s="41"/>
      <c r="F88" s="34" t="str">
        <f>IF(Taula_Seguiment[[#This Row],[Comentari]]=F$1,Taula_Seguiment[[#This Row],[Alumne]],"")</f>
        <v/>
      </c>
      <c r="G88" s="34" t="str">
        <f>IF(Taula_Seguiment[[#This Row],[Comentari]]=G$1,Taula_Seguiment[[#This Row],[Alumne]],"")</f>
        <v/>
      </c>
      <c r="H88" s="34" t="str">
        <f>IF(Taula_Seguiment[[#This Row],[Comentari]]=H$1,Taula_Seguiment[[#This Row],[Alumne]],"")</f>
        <v/>
      </c>
      <c r="I88" s="34" t="str">
        <f>IF(Taula_Seguiment[[#This Row],[Empresa]]="","",_xlfn.CONCAT(Taula_Seguiment[[#This Row],[Empresa]]," (",TEXT(Taula_Seguiment[[#This Row],[Data]],"dd/mm/aaaa"),")"))</f>
        <v>Solucions informàtiques Kaizen (08/05/2026)</v>
      </c>
      <c r="J88" s="34" t="str">
        <f>IFERROR(VLOOKUP(Taula_Seguiment[[#This Row],[Alumne]],Alumnes!E:AE,18,FALSE),"")</f>
        <v/>
      </c>
      <c r="K88" s="34" t="str">
        <f>IFERROR(VLOOKUP(Taula_Seguiment[[#This Row],[Alumne]],Alumnes!E:AE,19,FALSE),"")</f>
        <v/>
      </c>
    </row>
    <row r="89" spans="1:11" ht="29" hidden="1" x14ac:dyDescent="0.35">
      <c r="A89" s="40">
        <v>46154</v>
      </c>
      <c r="C89" s="34" t="s">
        <v>478</v>
      </c>
      <c r="D89" s="34" t="s">
        <v>391</v>
      </c>
      <c r="E89" s="41" t="s">
        <v>489</v>
      </c>
      <c r="F89" s="34" t="str">
        <f>IF(Taula_Seguiment[[#This Row],[Comentari]]=F$1,Taula_Seguiment[[#This Row],[Alumne]],"")</f>
        <v/>
      </c>
      <c r="G89" s="34" t="str">
        <f>IF(Taula_Seguiment[[#This Row],[Comentari]]=G$1,Taula_Seguiment[[#This Row],[Alumne]],"")</f>
        <v/>
      </c>
      <c r="H89" s="34" t="str">
        <f>IF(Taula_Seguiment[[#This Row],[Comentari]]=H$1,Taula_Seguiment[[#This Row],[Alumne]],"")</f>
        <v/>
      </c>
      <c r="I89" s="34" t="str">
        <f>IF(Taula_Seguiment[[#This Row],[Empresa]]="","",_xlfn.CONCAT(Taula_Seguiment[[#This Row],[Empresa]]," (",TEXT(Taula_Seguiment[[#This Row],[Data]],"dd/mm/aaaa"),")"))</f>
        <v>Solucions informàtiques Kaizen (12/05/2026)</v>
      </c>
      <c r="J89" s="34" t="str">
        <f>IFERROR(VLOOKUP(Taula_Seguiment[[#This Row],[Alumne]],Alumnes!E:AE,18,FALSE),"")</f>
        <v/>
      </c>
      <c r="K89" s="34" t="str">
        <f>IFERROR(VLOOKUP(Taula_Seguiment[[#This Row],[Alumne]],Alumnes!E:AE,19,FALSE),"")</f>
        <v/>
      </c>
    </row>
    <row r="90" spans="1:11" hidden="1" x14ac:dyDescent="0.35">
      <c r="A90" s="40">
        <v>46154</v>
      </c>
      <c r="B90" s="34" t="s">
        <v>125</v>
      </c>
      <c r="C90" s="34" t="s">
        <v>443</v>
      </c>
      <c r="D90" s="34" t="s">
        <v>203</v>
      </c>
      <c r="E90" s="41"/>
      <c r="F90" s="43" t="str">
        <f>IF(Taula_Seguiment[[#This Row],[Comentari]]=F$1,Taula_Seguiment[[#This Row],[Alumne]],"")</f>
        <v/>
      </c>
      <c r="G90" s="43" t="str">
        <f>IF(Taula_Seguiment[[#This Row],[Comentari]]=G$1,Taula_Seguiment[[#This Row],[Alumne]],"")</f>
        <v>Miravete Núñez, Tristan</v>
      </c>
      <c r="H90" s="43" t="str">
        <f>IF(Taula_Seguiment[[#This Row],[Comentari]]=H$1,Taula_Seguiment[[#This Row],[Alumne]],"")</f>
        <v/>
      </c>
      <c r="I90" s="43" t="str">
        <f>IF(Taula_Seguiment[[#This Row],[Empresa]]="","",_xlfn.CONCAT(Taula_Seguiment[[#This Row],[Empresa]]," (",TEXT(Taula_Seguiment[[#This Row],[Data]],"dd/mm/aaaa"),")"))</f>
        <v>NetLand (12/05/2026)</v>
      </c>
      <c r="J90" s="43">
        <f>IFERROR(VLOOKUP(Taula_Seguiment[[#This Row],[Alumne]],Alumnes!E:AE,18,FALSE),"")</f>
        <v>0</v>
      </c>
      <c r="K90" s="43" t="str">
        <f>IFERROR(VLOOKUP(Taula_Seguiment[[#This Row],[Alumne]],Alumnes!E:AE,19,FALSE),"")</f>
        <v>Dual gen.</v>
      </c>
    </row>
    <row r="91" spans="1:11" hidden="1" x14ac:dyDescent="0.35">
      <c r="A91" s="40">
        <v>46154</v>
      </c>
      <c r="B91" s="34" t="s">
        <v>113</v>
      </c>
      <c r="C91" s="34" t="s">
        <v>443</v>
      </c>
      <c r="D91" s="42" t="s">
        <v>59</v>
      </c>
      <c r="E91" s="41"/>
      <c r="F91" s="43" t="str">
        <f>IF(Taula_Seguiment[[#This Row],[Comentari]]=F$1,Taula_Seguiment[[#This Row],[Alumne]],"")</f>
        <v/>
      </c>
      <c r="G91" s="43" t="str">
        <f>IF(Taula_Seguiment[[#This Row],[Comentari]]=G$1,Taula_Seguiment[[#This Row],[Alumne]],"")</f>
        <v/>
      </c>
      <c r="H91" s="43" t="str">
        <f>IF(Taula_Seguiment[[#This Row],[Comentari]]=H$1,Taula_Seguiment[[#This Row],[Alumne]],"")</f>
        <v/>
      </c>
      <c r="I91" s="43" t="str">
        <f>IF(Taula_Seguiment[[#This Row],[Empresa]]="","",_xlfn.CONCAT(Taula_Seguiment[[#This Row],[Empresa]]," (",TEXT(Taula_Seguiment[[#This Row],[Data]],"dd/mm/aaaa"),")"))</f>
        <v>NetLand (12/05/2026)</v>
      </c>
      <c r="J91" s="43">
        <f>IFERROR(VLOOKUP(Taula_Seguiment[[#This Row],[Alumne]],Alumnes!E:AE,18,FALSE),"")</f>
        <v>0</v>
      </c>
      <c r="K91" s="43" t="str">
        <f>IFERROR(VLOOKUP(Taula_Seguiment[[#This Row],[Alumne]],Alumnes!E:AE,19,FALSE),"")</f>
        <v>Dual gen.</v>
      </c>
    </row>
    <row r="92" spans="1:11" hidden="1" x14ac:dyDescent="0.35">
      <c r="A92" s="40">
        <v>46155</v>
      </c>
      <c r="B92" s="34" t="s">
        <v>116</v>
      </c>
      <c r="C92" s="34" t="s">
        <v>370</v>
      </c>
      <c r="D92" s="34" t="s">
        <v>459</v>
      </c>
      <c r="E92" s="41"/>
      <c r="F92" s="43" t="str">
        <f>IF(Taula_Seguiment[[#This Row],[Comentari]]=F$1,Taula_Seguiment[[#This Row],[Alumne]],"")</f>
        <v/>
      </c>
      <c r="G92" s="43" t="str">
        <f>IF(Taula_Seguiment[[#This Row],[Comentari]]=G$1,Taula_Seguiment[[#This Row],[Alumne]],"")</f>
        <v/>
      </c>
      <c r="H92" s="43" t="str">
        <f>IF(Taula_Seguiment[[#This Row],[Comentari]]=H$1,Taula_Seguiment[[#This Row],[Alumne]],"")</f>
        <v>Jurado Borrell, Hugo</v>
      </c>
      <c r="I92" s="43" t="str">
        <f>IF(Taula_Seguiment[[#This Row],[Empresa]]="","",_xlfn.CONCAT(Taula_Seguiment[[#This Row],[Empresa]]," (",TEXT(Taula_Seguiment[[#This Row],[Data]],"dd/mm/aaaa"),")"))</f>
        <v>Sidogras y Flex Internacional (13/05/2026)</v>
      </c>
      <c r="J92" s="43">
        <f>IFERROR(VLOOKUP(Taula_Seguiment[[#This Row],[Alumne]],Alumnes!E:AE,18,FALSE),"")</f>
        <v>0</v>
      </c>
      <c r="K92" s="43" t="str">
        <f>IFERROR(VLOOKUP(Taula_Seguiment[[#This Row],[Alumne]],Alumnes!E:AE,19,FALSE),"")</f>
        <v>Dual int.</v>
      </c>
    </row>
    <row r="93" spans="1:11" x14ac:dyDescent="0.35">
      <c r="A93" s="40">
        <v>46127</v>
      </c>
      <c r="B93" s="34" t="s">
        <v>79</v>
      </c>
      <c r="C93" s="34" t="s">
        <v>452</v>
      </c>
      <c r="D93" s="34" t="s">
        <v>203</v>
      </c>
      <c r="E93" s="41"/>
      <c r="F93" s="43" t="str">
        <f>IF(Taula_Seguiment[[#This Row],[Comentari]]=F$1,Taula_Seguiment[[#This Row],[Alumne]],"")</f>
        <v/>
      </c>
      <c r="G93" s="43" t="str">
        <f>IF(Taula_Seguiment[[#This Row],[Comentari]]=G$1,Taula_Seguiment[[#This Row],[Alumne]],"")</f>
        <v>Benítes Zambrano, David</v>
      </c>
      <c r="H93" s="43" t="str">
        <f>IF(Taula_Seguiment[[#This Row],[Comentari]]=H$1,Taula_Seguiment[[#This Row],[Alumne]],"")</f>
        <v/>
      </c>
      <c r="I93" s="43" t="str">
        <f>IF(Taula_Seguiment[[#This Row],[Empresa]]="","",_xlfn.CONCAT(Taula_Seguiment[[#This Row],[Empresa]]," (",TEXT(Taula_Seguiment[[#This Row],[Data]],"dd/mm/aaaa"),")"))</f>
        <v>Deutsche Telekom Global Business ( T-Systems) (15/04/2026)</v>
      </c>
      <c r="J93" s="43">
        <f>IFERROR(VLOOKUP(Taula_Seguiment[[#This Row],[Alumne]],Alumnes!E:AE,18,FALSE),"")</f>
        <v>0</v>
      </c>
      <c r="K93" s="43" t="str">
        <f>IFERROR(VLOOKUP(Taula_Seguiment[[#This Row],[Alumne]],Alumnes!E:AE,19,FALSE),"")</f>
        <v>Dual int.</v>
      </c>
    </row>
  </sheetData>
  <phoneticPr fontId="3" type="noConversion"/>
  <conditionalFormatting sqref="A2:K93">
    <cfRule type="expression" dxfId="7" priority="9">
      <formula>COUNTIF($A2:$K2,"*~?*")&gt;0</formula>
    </cfRule>
  </conditionalFormatting>
  <conditionalFormatting sqref="B62:C63">
    <cfRule type="expression" dxfId="6" priority="8">
      <formula>COUNTIF($A62:$K62,"*~?*")&gt;0</formula>
    </cfRule>
  </conditionalFormatting>
  <conditionalFormatting sqref="B65:C65">
    <cfRule type="expression" dxfId="5" priority="5">
      <formula>COUNTIF($A65:$K65,"*~?*")&gt;0</formula>
    </cfRule>
  </conditionalFormatting>
  <conditionalFormatting sqref="B74:C75">
    <cfRule type="expression" dxfId="4" priority="1">
      <formula>COUNTIF($A74:$K74,"*~?*")&gt;0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87FECDA-9822-49AF-BB9A-E4DB2F78C6A7}">
          <x14:formula1>
            <xm:f>Paràmetres!$C:$C</xm:f>
          </x14:formula1>
          <xm:sqref>D2:D93</xm:sqref>
        </x14:dataValidation>
        <x14:dataValidation type="list" allowBlank="1" showInputMessage="1" showErrorMessage="1" xr:uid="{CA2D0D7D-4BA1-41CF-8316-312A2F4AB067}">
          <x14:formula1>
            <xm:f>Empreses!$A:$A</xm:f>
          </x14:formula1>
          <xm:sqref>C2:C93</xm:sqref>
        </x14:dataValidation>
        <x14:dataValidation type="list" allowBlank="1" showInputMessage="1" showErrorMessage="1" xr:uid="{5FE11D46-F26F-4443-8464-81507BB9ACA5}">
          <x14:formula1>
            <xm:f>Alumnes!$E$2:$E$29</xm:f>
          </x14:formula1>
          <xm:sqref>B2:B93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6C96-8BC0-4952-BDE9-454427D25F7F}">
  <sheetPr codeName="Full2"/>
  <dimension ref="B1:D50"/>
  <sheetViews>
    <sheetView workbookViewId="0">
      <selection activeCell="C12" sqref="C12"/>
    </sheetView>
  </sheetViews>
  <sheetFormatPr defaultRowHeight="14.5" x14ac:dyDescent="0.35"/>
  <cols>
    <col min="1" max="1" width="31.26953125" customWidth="1"/>
    <col min="2" max="2" width="16.6328125" bestFit="1" customWidth="1"/>
    <col min="3" max="3" width="35.08984375" bestFit="1" customWidth="1"/>
    <col min="4" max="4" width="16.1796875" bestFit="1" customWidth="1"/>
  </cols>
  <sheetData>
    <row r="1" spans="2:4" x14ac:dyDescent="0.35">
      <c r="B1" s="1" t="s">
        <v>49</v>
      </c>
      <c r="C1" t="s">
        <v>411</v>
      </c>
    </row>
    <row r="3" spans="2:4" x14ac:dyDescent="0.35">
      <c r="B3" s="1" t="s">
        <v>30</v>
      </c>
      <c r="C3" s="1" t="s">
        <v>63</v>
      </c>
      <c r="D3" t="s">
        <v>32</v>
      </c>
    </row>
    <row r="4" spans="2:4" x14ac:dyDescent="0.35">
      <c r="B4" s="2" t="s">
        <v>29</v>
      </c>
      <c r="C4" s="2" t="s">
        <v>0</v>
      </c>
      <c r="D4">
        <v>1</v>
      </c>
    </row>
    <row r="5" spans="2:4" x14ac:dyDescent="0.35">
      <c r="C5" s="3" t="s">
        <v>85</v>
      </c>
      <c r="D5">
        <v>1</v>
      </c>
    </row>
    <row r="6" spans="2:4" x14ac:dyDescent="0.35">
      <c r="C6" s="2"/>
    </row>
    <row r="7" spans="2:4" x14ac:dyDescent="0.35">
      <c r="B7" s="2" t="s">
        <v>2</v>
      </c>
      <c r="C7" s="2" t="s">
        <v>2</v>
      </c>
      <c r="D7">
        <v>2</v>
      </c>
    </row>
    <row r="8" spans="2:4" x14ac:dyDescent="0.35">
      <c r="C8" s="3" t="s">
        <v>119</v>
      </c>
      <c r="D8">
        <v>1</v>
      </c>
    </row>
    <row r="9" spans="2:4" x14ac:dyDescent="0.35">
      <c r="C9" s="3" t="s">
        <v>133</v>
      </c>
      <c r="D9">
        <v>1</v>
      </c>
    </row>
    <row r="10" spans="2:4" x14ac:dyDescent="0.35">
      <c r="C10" s="2"/>
    </row>
    <row r="11" spans="2:4" x14ac:dyDescent="0.35">
      <c r="C11" s="2" t="s">
        <v>35</v>
      </c>
      <c r="D11">
        <v>5</v>
      </c>
    </row>
    <row r="12" spans="2:4" x14ac:dyDescent="0.35">
      <c r="C12" s="3" t="s">
        <v>95</v>
      </c>
      <c r="D12">
        <v>1</v>
      </c>
    </row>
    <row r="13" spans="2:4" x14ac:dyDescent="0.35">
      <c r="C13" s="3" t="s">
        <v>113</v>
      </c>
      <c r="D13">
        <v>1</v>
      </c>
    </row>
    <row r="14" spans="2:4" x14ac:dyDescent="0.35">
      <c r="C14" s="3" t="s">
        <v>122</v>
      </c>
      <c r="D14">
        <v>1</v>
      </c>
    </row>
    <row r="15" spans="2:4" x14ac:dyDescent="0.35">
      <c r="C15" s="3" t="s">
        <v>141</v>
      </c>
      <c r="D15">
        <v>1</v>
      </c>
    </row>
    <row r="16" spans="2:4" x14ac:dyDescent="0.35">
      <c r="C16" s="3" t="s">
        <v>144</v>
      </c>
      <c r="D16">
        <v>1</v>
      </c>
    </row>
    <row r="17" spans="2:4" x14ac:dyDescent="0.35">
      <c r="C17" s="2"/>
    </row>
    <row r="18" spans="2:4" x14ac:dyDescent="0.35">
      <c r="C18" s="2" t="s">
        <v>0</v>
      </c>
      <c r="D18">
        <v>3</v>
      </c>
    </row>
    <row r="19" spans="2:4" x14ac:dyDescent="0.35">
      <c r="C19" s="3" t="s">
        <v>72</v>
      </c>
      <c r="D19">
        <v>1</v>
      </c>
    </row>
    <row r="20" spans="2:4" x14ac:dyDescent="0.35">
      <c r="C20" s="3" t="s">
        <v>88</v>
      </c>
      <c r="D20">
        <v>1</v>
      </c>
    </row>
    <row r="21" spans="2:4" x14ac:dyDescent="0.35">
      <c r="C21" s="3" t="s">
        <v>125</v>
      </c>
      <c r="D21">
        <v>1</v>
      </c>
    </row>
    <row r="22" spans="2:4" x14ac:dyDescent="0.35">
      <c r="C22" s="2"/>
    </row>
    <row r="23" spans="2:4" x14ac:dyDescent="0.35">
      <c r="B23" s="2" t="s">
        <v>1</v>
      </c>
      <c r="C23" s="2" t="s">
        <v>1</v>
      </c>
      <c r="D23">
        <v>3</v>
      </c>
    </row>
    <row r="24" spans="2:4" x14ac:dyDescent="0.35">
      <c r="C24" s="3" t="s">
        <v>75</v>
      </c>
      <c r="D24">
        <v>1</v>
      </c>
    </row>
    <row r="25" spans="2:4" x14ac:dyDescent="0.35">
      <c r="C25" s="3" t="s">
        <v>101</v>
      </c>
      <c r="D25">
        <v>1</v>
      </c>
    </row>
    <row r="26" spans="2:4" x14ac:dyDescent="0.35">
      <c r="C26" s="3" t="s">
        <v>106</v>
      </c>
      <c r="D26">
        <v>1</v>
      </c>
    </row>
    <row r="27" spans="2:4" x14ac:dyDescent="0.35">
      <c r="C27" s="2"/>
    </row>
    <row r="28" spans="2:4" x14ac:dyDescent="0.35">
      <c r="C28" s="2" t="s">
        <v>0</v>
      </c>
      <c r="D28">
        <v>1</v>
      </c>
    </row>
    <row r="29" spans="2:4" x14ac:dyDescent="0.35">
      <c r="C29" s="3" t="s">
        <v>111</v>
      </c>
      <c r="D29">
        <v>1</v>
      </c>
    </row>
    <row r="30" spans="2:4" x14ac:dyDescent="0.35">
      <c r="C30" s="2"/>
    </row>
    <row r="31" spans="2:4" x14ac:dyDescent="0.35">
      <c r="C31" s="2" t="s">
        <v>36</v>
      </c>
      <c r="D31">
        <v>6</v>
      </c>
    </row>
    <row r="32" spans="2:4" x14ac:dyDescent="0.35">
      <c r="C32" s="3" t="s">
        <v>79</v>
      </c>
      <c r="D32">
        <v>1</v>
      </c>
    </row>
    <row r="33" spans="2:4" x14ac:dyDescent="0.35">
      <c r="C33" s="3" t="s">
        <v>82</v>
      </c>
      <c r="D33">
        <v>1</v>
      </c>
    </row>
    <row r="34" spans="2:4" x14ac:dyDescent="0.35">
      <c r="C34" s="3" t="s">
        <v>91</v>
      </c>
      <c r="D34">
        <v>1</v>
      </c>
    </row>
    <row r="35" spans="2:4" x14ac:dyDescent="0.35">
      <c r="C35" s="3" t="s">
        <v>98</v>
      </c>
      <c r="D35">
        <v>1</v>
      </c>
    </row>
    <row r="36" spans="2:4" x14ac:dyDescent="0.35">
      <c r="C36" s="3" t="s">
        <v>116</v>
      </c>
      <c r="D36">
        <v>1</v>
      </c>
    </row>
    <row r="37" spans="2:4" x14ac:dyDescent="0.35">
      <c r="C37" s="3" t="s">
        <v>135</v>
      </c>
      <c r="D37">
        <v>1</v>
      </c>
    </row>
    <row r="38" spans="2:4" x14ac:dyDescent="0.35">
      <c r="C38" s="2"/>
    </row>
    <row r="39" spans="2:4" x14ac:dyDescent="0.35">
      <c r="B39" s="2" t="s">
        <v>217</v>
      </c>
      <c r="C39" s="2" t="s">
        <v>0</v>
      </c>
      <c r="D39">
        <v>6</v>
      </c>
    </row>
    <row r="40" spans="2:4" x14ac:dyDescent="0.35">
      <c r="C40" s="3" t="s">
        <v>77</v>
      </c>
      <c r="D40">
        <v>1</v>
      </c>
    </row>
    <row r="41" spans="2:4" x14ac:dyDescent="0.35">
      <c r="C41" s="3" t="s">
        <v>103</v>
      </c>
      <c r="D41">
        <v>1</v>
      </c>
    </row>
    <row r="42" spans="2:4" x14ac:dyDescent="0.35">
      <c r="C42" s="3" t="s">
        <v>108</v>
      </c>
      <c r="D42">
        <v>1</v>
      </c>
    </row>
    <row r="43" spans="2:4" x14ac:dyDescent="0.35">
      <c r="C43" s="3" t="s">
        <v>128</v>
      </c>
      <c r="D43">
        <v>1</v>
      </c>
    </row>
    <row r="44" spans="2:4" x14ac:dyDescent="0.35">
      <c r="C44" s="3" t="s">
        <v>131</v>
      </c>
      <c r="D44">
        <v>1</v>
      </c>
    </row>
    <row r="45" spans="2:4" x14ac:dyDescent="0.35">
      <c r="C45" s="3" t="s">
        <v>146</v>
      </c>
      <c r="D45">
        <v>1</v>
      </c>
    </row>
    <row r="46" spans="2:4" x14ac:dyDescent="0.35">
      <c r="C46" s="2"/>
    </row>
    <row r="47" spans="2:4" x14ac:dyDescent="0.35">
      <c r="B47" s="2" t="s">
        <v>428</v>
      </c>
      <c r="C47" s="2" t="s">
        <v>0</v>
      </c>
      <c r="D47">
        <v>1</v>
      </c>
    </row>
    <row r="48" spans="2:4" x14ac:dyDescent="0.35">
      <c r="C48" s="3" t="s">
        <v>138</v>
      </c>
      <c r="D48">
        <v>1</v>
      </c>
    </row>
    <row r="49" spans="2:4" x14ac:dyDescent="0.35">
      <c r="C49" s="2"/>
    </row>
    <row r="50" spans="2:4" x14ac:dyDescent="0.35">
      <c r="B50" s="2" t="s">
        <v>31</v>
      </c>
      <c r="D50">
        <v>28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5DA3-C3BB-436B-B0BA-306B3EA62C24}">
  <sheetPr codeName="Full4"/>
  <dimension ref="B3:D191"/>
  <sheetViews>
    <sheetView topLeftCell="A61" workbookViewId="0">
      <selection activeCell="C8" sqref="C4:C91"/>
    </sheetView>
  </sheetViews>
  <sheetFormatPr defaultRowHeight="14.5" x14ac:dyDescent="0.35"/>
  <cols>
    <col min="1" max="1" width="29.7265625" customWidth="1"/>
    <col min="2" max="2" width="16.6328125" bestFit="1" customWidth="1"/>
    <col min="3" max="3" width="34.7265625" bestFit="1" customWidth="1"/>
    <col min="4" max="4" width="44.7265625" bestFit="1" customWidth="1"/>
    <col min="5" max="6" width="20.26953125" bestFit="1" customWidth="1"/>
    <col min="7" max="7" width="41.26953125" bestFit="1" customWidth="1"/>
    <col min="8" max="8" width="57.26953125" bestFit="1" customWidth="1"/>
    <col min="9" max="9" width="8.36328125" bestFit="1" customWidth="1"/>
    <col min="10" max="10" width="13.90625" bestFit="1" customWidth="1"/>
    <col min="11" max="11" width="11.1796875" bestFit="1" customWidth="1"/>
    <col min="12" max="12" width="20.54296875" bestFit="1" customWidth="1"/>
    <col min="13" max="13" width="6.08984375" bestFit="1" customWidth="1"/>
    <col min="14" max="14" width="6.81640625" bestFit="1" customWidth="1"/>
    <col min="15" max="15" width="10.90625" bestFit="1" customWidth="1"/>
    <col min="16" max="16" width="9.26953125" bestFit="1" customWidth="1"/>
    <col min="17" max="17" width="11.453125" bestFit="1" customWidth="1"/>
  </cols>
  <sheetData>
    <row r="3" spans="2:4" x14ac:dyDescent="0.35">
      <c r="B3" s="1" t="s">
        <v>30</v>
      </c>
      <c r="C3" s="1" t="s">
        <v>57</v>
      </c>
      <c r="D3" s="1" t="s">
        <v>56</v>
      </c>
    </row>
    <row r="4" spans="2:4" x14ac:dyDescent="0.35">
      <c r="B4" s="2" t="s">
        <v>43</v>
      </c>
      <c r="C4" s="2" t="s">
        <v>215</v>
      </c>
      <c r="D4" s="17">
        <v>15</v>
      </c>
    </row>
    <row r="5" spans="2:4" x14ac:dyDescent="0.35">
      <c r="D5" s="3" t="s">
        <v>455</v>
      </c>
    </row>
    <row r="6" spans="2:4" x14ac:dyDescent="0.35">
      <c r="D6" s="11" t="s">
        <v>208</v>
      </c>
    </row>
    <row r="7" spans="2:4" x14ac:dyDescent="0.35">
      <c r="D7" s="17">
        <v>46071</v>
      </c>
    </row>
    <row r="8" spans="2:4" x14ac:dyDescent="0.35">
      <c r="D8" s="3" t="s">
        <v>370</v>
      </c>
    </row>
    <row r="9" spans="2:4" x14ac:dyDescent="0.35">
      <c r="D9" s="11" t="s">
        <v>5</v>
      </c>
    </row>
    <row r="10" spans="2:4" x14ac:dyDescent="0.35">
      <c r="D10" s="11" t="s">
        <v>208</v>
      </c>
    </row>
    <row r="11" spans="2:4" x14ac:dyDescent="0.35">
      <c r="D11" s="17">
        <v>46072</v>
      </c>
    </row>
    <row r="12" spans="2:4" x14ac:dyDescent="0.35">
      <c r="D12" s="3" t="s">
        <v>377</v>
      </c>
    </row>
    <row r="13" spans="2:4" x14ac:dyDescent="0.35">
      <c r="D13" s="11" t="s">
        <v>5</v>
      </c>
    </row>
    <row r="14" spans="2:4" x14ac:dyDescent="0.35">
      <c r="D14" s="11" t="s">
        <v>208</v>
      </c>
    </row>
    <row r="15" spans="2:4" x14ac:dyDescent="0.35">
      <c r="D15" s="17">
        <v>46078</v>
      </c>
    </row>
    <row r="16" spans="2:4" x14ac:dyDescent="0.35">
      <c r="D16" s="3" t="s">
        <v>388</v>
      </c>
    </row>
    <row r="17" spans="4:4" x14ac:dyDescent="0.35">
      <c r="D17" s="11" t="s">
        <v>208</v>
      </c>
    </row>
    <row r="18" spans="4:4" x14ac:dyDescent="0.35">
      <c r="D18" s="3" t="s">
        <v>383</v>
      </c>
    </row>
    <row r="19" spans="4:4" x14ac:dyDescent="0.35">
      <c r="D19" s="11" t="s">
        <v>208</v>
      </c>
    </row>
    <row r="20" spans="4:4" x14ac:dyDescent="0.35">
      <c r="D20" s="17">
        <v>46079</v>
      </c>
    </row>
    <row r="21" spans="4:4" x14ac:dyDescent="0.35">
      <c r="D21" s="3" t="s">
        <v>388</v>
      </c>
    </row>
    <row r="22" spans="4:4" x14ac:dyDescent="0.35">
      <c r="D22" s="11" t="s">
        <v>391</v>
      </c>
    </row>
    <row r="23" spans="4:4" x14ac:dyDescent="0.35">
      <c r="D23" s="3" t="s">
        <v>383</v>
      </c>
    </row>
    <row r="24" spans="4:4" x14ac:dyDescent="0.35">
      <c r="D24" s="11" t="s">
        <v>391</v>
      </c>
    </row>
    <row r="25" spans="4:4" x14ac:dyDescent="0.35">
      <c r="D25" s="17">
        <v>46083</v>
      </c>
    </row>
    <row r="26" spans="4:4" x14ac:dyDescent="0.35">
      <c r="D26" s="3" t="s">
        <v>394</v>
      </c>
    </row>
    <row r="27" spans="4:4" x14ac:dyDescent="0.35">
      <c r="D27" s="11" t="s">
        <v>208</v>
      </c>
    </row>
    <row r="28" spans="4:4" x14ac:dyDescent="0.35">
      <c r="D28" s="17">
        <v>46085</v>
      </c>
    </row>
    <row r="29" spans="4:4" x14ac:dyDescent="0.35">
      <c r="D29" s="3" t="s">
        <v>407</v>
      </c>
    </row>
    <row r="30" spans="4:4" x14ac:dyDescent="0.35">
      <c r="D30" s="11" t="s">
        <v>208</v>
      </c>
    </row>
    <row r="31" spans="4:4" x14ac:dyDescent="0.35">
      <c r="D31" s="3" t="s">
        <v>402</v>
      </c>
    </row>
    <row r="32" spans="4:4" x14ac:dyDescent="0.35">
      <c r="D32" s="11" t="s">
        <v>208</v>
      </c>
    </row>
    <row r="33" spans="4:4" x14ac:dyDescent="0.35">
      <c r="D33" s="17">
        <v>46086</v>
      </c>
    </row>
    <row r="34" spans="4:4" x14ac:dyDescent="0.35">
      <c r="D34" s="3" t="s">
        <v>407</v>
      </c>
    </row>
    <row r="35" spans="4:4" x14ac:dyDescent="0.35">
      <c r="D35" s="11" t="s">
        <v>212</v>
      </c>
    </row>
    <row r="36" spans="4:4" x14ac:dyDescent="0.35">
      <c r="D36" s="17">
        <v>46090</v>
      </c>
    </row>
    <row r="37" spans="4:4" x14ac:dyDescent="0.35">
      <c r="D37" s="3" t="s">
        <v>402</v>
      </c>
    </row>
    <row r="38" spans="4:4" x14ac:dyDescent="0.35">
      <c r="D38" s="11" t="s">
        <v>391</v>
      </c>
    </row>
    <row r="39" spans="4:4" x14ac:dyDescent="0.35">
      <c r="D39" s="17">
        <v>46092</v>
      </c>
    </row>
    <row r="40" spans="4:4" x14ac:dyDescent="0.35">
      <c r="D40" s="3" t="s">
        <v>414</v>
      </c>
    </row>
    <row r="41" spans="4:4" x14ac:dyDescent="0.35">
      <c r="D41" s="11" t="s">
        <v>391</v>
      </c>
    </row>
    <row r="42" spans="4:4" x14ac:dyDescent="0.35">
      <c r="D42" s="3" t="s">
        <v>420</v>
      </c>
    </row>
    <row r="43" spans="4:4" x14ac:dyDescent="0.35">
      <c r="D43" s="11" t="s">
        <v>208</v>
      </c>
    </row>
    <row r="44" spans="4:4" x14ac:dyDescent="0.35">
      <c r="D44" s="17">
        <v>46119</v>
      </c>
    </row>
    <row r="45" spans="4:4" x14ac:dyDescent="0.35">
      <c r="D45" s="3" t="s">
        <v>438</v>
      </c>
    </row>
    <row r="46" spans="4:4" x14ac:dyDescent="0.35">
      <c r="D46" s="11" t="s">
        <v>391</v>
      </c>
    </row>
    <row r="47" spans="4:4" x14ac:dyDescent="0.35">
      <c r="D47" s="17">
        <v>46122</v>
      </c>
    </row>
    <row r="48" spans="4:4" x14ac:dyDescent="0.35">
      <c r="D48" s="3" t="s">
        <v>443</v>
      </c>
    </row>
    <row r="49" spans="2:4" x14ac:dyDescent="0.35">
      <c r="D49" s="11" t="s">
        <v>208</v>
      </c>
    </row>
    <row r="50" spans="2:4" x14ac:dyDescent="0.35">
      <c r="D50" s="3" t="s">
        <v>448</v>
      </c>
    </row>
    <row r="51" spans="2:4" x14ac:dyDescent="0.35">
      <c r="D51" s="11" t="s">
        <v>208</v>
      </c>
    </row>
    <row r="52" spans="2:4" x14ac:dyDescent="0.35">
      <c r="D52" s="17">
        <v>46132</v>
      </c>
    </row>
    <row r="53" spans="2:4" x14ac:dyDescent="0.35">
      <c r="D53" s="3" t="s">
        <v>394</v>
      </c>
    </row>
    <row r="54" spans="2:4" x14ac:dyDescent="0.35">
      <c r="D54" s="11" t="s">
        <v>391</v>
      </c>
    </row>
    <row r="55" spans="2:4" x14ac:dyDescent="0.35">
      <c r="D55" s="17">
        <v>46134</v>
      </c>
    </row>
    <row r="56" spans="2:4" x14ac:dyDescent="0.35">
      <c r="D56" s="3" t="s">
        <v>455</v>
      </c>
    </row>
    <row r="57" spans="2:4" x14ac:dyDescent="0.35">
      <c r="D57" s="11" t="s">
        <v>208</v>
      </c>
    </row>
    <row r="58" spans="2:4" x14ac:dyDescent="0.35">
      <c r="D58" s="17">
        <v>46135</v>
      </c>
    </row>
    <row r="59" spans="2:4" x14ac:dyDescent="0.35">
      <c r="D59" s="3" t="s">
        <v>448</v>
      </c>
    </row>
    <row r="60" spans="2:4" x14ac:dyDescent="0.35">
      <c r="D60" s="11" t="s">
        <v>212</v>
      </c>
    </row>
    <row r="61" spans="2:4" x14ac:dyDescent="0.35">
      <c r="D61" s="17">
        <v>46139</v>
      </c>
    </row>
    <row r="62" spans="2:4" x14ac:dyDescent="0.35">
      <c r="D62" s="3" t="s">
        <v>465</v>
      </c>
    </row>
    <row r="63" spans="2:4" x14ac:dyDescent="0.35">
      <c r="D63" s="11" t="s">
        <v>391</v>
      </c>
    </row>
    <row r="64" spans="2:4" x14ac:dyDescent="0.35">
      <c r="B64" s="2" t="s">
        <v>2</v>
      </c>
      <c r="C64" s="2" t="s">
        <v>95</v>
      </c>
      <c r="D64" s="17">
        <v>46091</v>
      </c>
    </row>
    <row r="65" spans="3:4" x14ac:dyDescent="0.35">
      <c r="D65" s="3" t="s">
        <v>383</v>
      </c>
    </row>
    <row r="66" spans="3:4" x14ac:dyDescent="0.35">
      <c r="D66" s="11" t="s">
        <v>202</v>
      </c>
    </row>
    <row r="67" spans="3:4" x14ac:dyDescent="0.35">
      <c r="C67" s="2" t="s">
        <v>113</v>
      </c>
      <c r="D67" s="17">
        <v>46091</v>
      </c>
    </row>
    <row r="68" spans="3:4" x14ac:dyDescent="0.35">
      <c r="D68" s="3" t="s">
        <v>383</v>
      </c>
    </row>
    <row r="69" spans="3:4" x14ac:dyDescent="0.35">
      <c r="D69" s="11" t="s">
        <v>202</v>
      </c>
    </row>
    <row r="70" spans="3:4" x14ac:dyDescent="0.35">
      <c r="C70" s="2" t="s">
        <v>141</v>
      </c>
      <c r="D70" s="17">
        <v>46092</v>
      </c>
    </row>
    <row r="71" spans="3:4" x14ac:dyDescent="0.35">
      <c r="D71" s="3" t="s">
        <v>424</v>
      </c>
    </row>
    <row r="72" spans="3:4" x14ac:dyDescent="0.35">
      <c r="D72" s="11" t="s">
        <v>202</v>
      </c>
    </row>
    <row r="73" spans="3:4" x14ac:dyDescent="0.35">
      <c r="D73" s="17">
        <v>46100</v>
      </c>
    </row>
    <row r="74" spans="3:4" x14ac:dyDescent="0.35">
      <c r="D74" s="3" t="s">
        <v>424</v>
      </c>
    </row>
    <row r="75" spans="3:4" x14ac:dyDescent="0.35">
      <c r="D75" s="11" t="s">
        <v>203</v>
      </c>
    </row>
    <row r="76" spans="3:4" x14ac:dyDescent="0.35">
      <c r="D76" s="17">
        <v>46139</v>
      </c>
    </row>
    <row r="77" spans="3:4" x14ac:dyDescent="0.35">
      <c r="D77" s="3" t="s">
        <v>465</v>
      </c>
    </row>
    <row r="78" spans="3:4" x14ac:dyDescent="0.35">
      <c r="D78" s="11" t="s">
        <v>202</v>
      </c>
    </row>
    <row r="79" spans="3:4" x14ac:dyDescent="0.35">
      <c r="D79" s="17">
        <v>46140</v>
      </c>
    </row>
    <row r="80" spans="3:4" x14ac:dyDescent="0.35">
      <c r="D80" s="3" t="s">
        <v>465</v>
      </c>
    </row>
    <row r="81" spans="3:4" x14ac:dyDescent="0.35">
      <c r="D81" s="11" t="s">
        <v>203</v>
      </c>
    </row>
    <row r="82" spans="3:4" x14ac:dyDescent="0.35">
      <c r="C82" s="2" t="s">
        <v>119</v>
      </c>
      <c r="D82" s="17">
        <v>46092</v>
      </c>
    </row>
    <row r="83" spans="3:4" x14ac:dyDescent="0.35">
      <c r="D83" s="3" t="s">
        <v>424</v>
      </c>
    </row>
    <row r="84" spans="3:4" x14ac:dyDescent="0.35">
      <c r="D84" s="11" t="s">
        <v>202</v>
      </c>
    </row>
    <row r="85" spans="3:4" x14ac:dyDescent="0.35">
      <c r="D85" s="17">
        <v>46100</v>
      </c>
    </row>
    <row r="86" spans="3:4" x14ac:dyDescent="0.35">
      <c r="D86" s="3" t="s">
        <v>424</v>
      </c>
    </row>
    <row r="87" spans="3:4" x14ac:dyDescent="0.35">
      <c r="D87" s="11" t="s">
        <v>59</v>
      </c>
    </row>
    <row r="88" spans="3:4" x14ac:dyDescent="0.35">
      <c r="D88" s="17">
        <v>46106</v>
      </c>
    </row>
    <row r="89" spans="3:4" x14ac:dyDescent="0.35">
      <c r="D89" s="3" t="s">
        <v>424</v>
      </c>
    </row>
    <row r="90" spans="3:4" x14ac:dyDescent="0.35">
      <c r="D90" s="11" t="s">
        <v>204</v>
      </c>
    </row>
    <row r="91" spans="3:4" x14ac:dyDescent="0.35">
      <c r="C91" s="2" t="s">
        <v>122</v>
      </c>
      <c r="D91" s="17">
        <v>46127</v>
      </c>
    </row>
    <row r="92" spans="3:4" x14ac:dyDescent="0.35">
      <c r="D92" s="3" t="s">
        <v>438</v>
      </c>
    </row>
    <row r="93" spans="3:4" x14ac:dyDescent="0.35">
      <c r="D93" s="11" t="s">
        <v>202</v>
      </c>
    </row>
    <row r="94" spans="3:4" x14ac:dyDescent="0.35">
      <c r="D94" s="17">
        <v>46128</v>
      </c>
    </row>
    <row r="95" spans="3:4" x14ac:dyDescent="0.35">
      <c r="D95" s="3" t="s">
        <v>438</v>
      </c>
    </row>
    <row r="96" spans="3:4" x14ac:dyDescent="0.35">
      <c r="D96" s="11" t="s">
        <v>203</v>
      </c>
    </row>
    <row r="97" spans="3:4" x14ac:dyDescent="0.35">
      <c r="D97" s="11" t="s">
        <v>459</v>
      </c>
    </row>
    <row r="98" spans="3:4" x14ac:dyDescent="0.35">
      <c r="D98" s="17">
        <v>46139</v>
      </c>
    </row>
    <row r="99" spans="3:4" x14ac:dyDescent="0.35">
      <c r="D99" s="3" t="s">
        <v>465</v>
      </c>
    </row>
    <row r="100" spans="3:4" x14ac:dyDescent="0.35">
      <c r="D100" s="11" t="s">
        <v>202</v>
      </c>
    </row>
    <row r="101" spans="3:4" x14ac:dyDescent="0.35">
      <c r="D101" s="17">
        <v>46140</v>
      </c>
    </row>
    <row r="102" spans="3:4" x14ac:dyDescent="0.35">
      <c r="D102" s="3" t="s">
        <v>465</v>
      </c>
    </row>
    <row r="103" spans="3:4" x14ac:dyDescent="0.35">
      <c r="D103" s="11" t="s">
        <v>203</v>
      </c>
    </row>
    <row r="104" spans="3:4" x14ac:dyDescent="0.35">
      <c r="C104" s="2" t="s">
        <v>144</v>
      </c>
      <c r="D104" s="17">
        <v>46127</v>
      </c>
    </row>
    <row r="105" spans="3:4" x14ac:dyDescent="0.35">
      <c r="D105" s="3" t="s">
        <v>438</v>
      </c>
    </row>
    <row r="106" spans="3:4" x14ac:dyDescent="0.35">
      <c r="D106" s="11" t="s">
        <v>202</v>
      </c>
    </row>
    <row r="107" spans="3:4" x14ac:dyDescent="0.35">
      <c r="D107" s="17">
        <v>46128</v>
      </c>
    </row>
    <row r="108" spans="3:4" x14ac:dyDescent="0.35">
      <c r="D108" s="3" t="s">
        <v>438</v>
      </c>
    </row>
    <row r="109" spans="3:4" x14ac:dyDescent="0.35">
      <c r="D109" s="11" t="s">
        <v>203</v>
      </c>
    </row>
    <row r="110" spans="3:4" x14ac:dyDescent="0.35">
      <c r="D110" s="11" t="s">
        <v>459</v>
      </c>
    </row>
    <row r="111" spans="3:4" x14ac:dyDescent="0.35">
      <c r="D111" s="17">
        <v>46139</v>
      </c>
    </row>
    <row r="112" spans="3:4" x14ac:dyDescent="0.35">
      <c r="D112" s="3" t="s">
        <v>465</v>
      </c>
    </row>
    <row r="113" spans="2:4" x14ac:dyDescent="0.35">
      <c r="D113" s="11" t="s">
        <v>202</v>
      </c>
    </row>
    <row r="114" spans="2:4" x14ac:dyDescent="0.35">
      <c r="B114" s="2" t="s">
        <v>1</v>
      </c>
      <c r="C114" s="2" t="s">
        <v>101</v>
      </c>
      <c r="D114" s="17">
        <v>46070</v>
      </c>
    </row>
    <row r="115" spans="2:4" x14ac:dyDescent="0.35">
      <c r="D115" s="3" t="s">
        <v>367</v>
      </c>
    </row>
    <row r="116" spans="2:4" x14ac:dyDescent="0.35">
      <c r="D116" s="11" t="s">
        <v>202</v>
      </c>
    </row>
    <row r="117" spans="2:4" x14ac:dyDescent="0.35">
      <c r="D117" s="17">
        <v>46092</v>
      </c>
    </row>
    <row r="118" spans="2:4" x14ac:dyDescent="0.35">
      <c r="D118" s="3" t="s">
        <v>367</v>
      </c>
    </row>
    <row r="119" spans="2:4" x14ac:dyDescent="0.35">
      <c r="D119" s="11" t="s">
        <v>59</v>
      </c>
    </row>
    <row r="120" spans="2:4" x14ac:dyDescent="0.35">
      <c r="C120" s="2" t="s">
        <v>135</v>
      </c>
      <c r="D120" s="17">
        <v>46070</v>
      </c>
    </row>
    <row r="121" spans="2:4" x14ac:dyDescent="0.35">
      <c r="D121" s="3" t="s">
        <v>367</v>
      </c>
    </row>
    <row r="122" spans="2:4" x14ac:dyDescent="0.35">
      <c r="D122" s="11" t="s">
        <v>202</v>
      </c>
    </row>
    <row r="123" spans="2:4" x14ac:dyDescent="0.35">
      <c r="D123" s="17">
        <v>46087</v>
      </c>
    </row>
    <row r="124" spans="2:4" x14ac:dyDescent="0.35">
      <c r="D124" s="3" t="s">
        <v>367</v>
      </c>
    </row>
    <row r="125" spans="2:4" x14ac:dyDescent="0.35">
      <c r="D125" s="11" t="s">
        <v>203</v>
      </c>
    </row>
    <row r="126" spans="2:4" x14ac:dyDescent="0.35">
      <c r="D126" s="17">
        <v>46090</v>
      </c>
    </row>
    <row r="127" spans="2:4" x14ac:dyDescent="0.35">
      <c r="D127" s="3" t="s">
        <v>402</v>
      </c>
    </row>
    <row r="128" spans="2:4" x14ac:dyDescent="0.35">
      <c r="D128" s="11" t="s">
        <v>202</v>
      </c>
    </row>
    <row r="129" spans="3:4" x14ac:dyDescent="0.35">
      <c r="D129" s="17">
        <v>46127</v>
      </c>
    </row>
    <row r="130" spans="3:4" x14ac:dyDescent="0.35">
      <c r="D130" s="3" t="s">
        <v>452</v>
      </c>
    </row>
    <row r="131" spans="3:4" x14ac:dyDescent="0.35">
      <c r="D131" s="11" t="s">
        <v>202</v>
      </c>
    </row>
    <row r="132" spans="3:4" x14ac:dyDescent="0.35">
      <c r="C132" s="2" t="s">
        <v>116</v>
      </c>
      <c r="D132" s="17">
        <v>46071</v>
      </c>
    </row>
    <row r="133" spans="3:4" x14ac:dyDescent="0.35">
      <c r="D133" s="3" t="s">
        <v>370</v>
      </c>
    </row>
    <row r="134" spans="3:4" x14ac:dyDescent="0.35">
      <c r="D134" s="11" t="s">
        <v>202</v>
      </c>
    </row>
    <row r="135" spans="3:4" x14ac:dyDescent="0.35">
      <c r="D135" s="17">
        <v>46127</v>
      </c>
    </row>
    <row r="136" spans="3:4" x14ac:dyDescent="0.35">
      <c r="D136" s="3" t="s">
        <v>448</v>
      </c>
    </row>
    <row r="137" spans="3:4" x14ac:dyDescent="0.35">
      <c r="D137" s="11" t="s">
        <v>202</v>
      </c>
    </row>
    <row r="138" spans="3:4" x14ac:dyDescent="0.35">
      <c r="C138" s="2" t="s">
        <v>79</v>
      </c>
      <c r="D138" s="17">
        <v>46076</v>
      </c>
    </row>
    <row r="139" spans="3:4" x14ac:dyDescent="0.35">
      <c r="D139" s="3" t="s">
        <v>380</v>
      </c>
    </row>
    <row r="140" spans="3:4" x14ac:dyDescent="0.35">
      <c r="D140" s="11" t="s">
        <v>202</v>
      </c>
    </row>
    <row r="141" spans="3:4" x14ac:dyDescent="0.35">
      <c r="D141" s="17">
        <v>46078</v>
      </c>
    </row>
    <row r="142" spans="3:4" x14ac:dyDescent="0.35">
      <c r="D142" s="3" t="s">
        <v>380</v>
      </c>
    </row>
    <row r="143" spans="3:4" x14ac:dyDescent="0.35">
      <c r="D143" s="11" t="s">
        <v>203</v>
      </c>
    </row>
    <row r="144" spans="3:4" x14ac:dyDescent="0.35">
      <c r="D144" s="3" t="s">
        <v>377</v>
      </c>
    </row>
    <row r="145" spans="3:4" x14ac:dyDescent="0.35">
      <c r="D145" s="11" t="s">
        <v>202</v>
      </c>
    </row>
    <row r="146" spans="3:4" x14ac:dyDescent="0.35">
      <c r="D146" s="17">
        <v>46086</v>
      </c>
    </row>
    <row r="147" spans="3:4" x14ac:dyDescent="0.35">
      <c r="D147" s="3" t="s">
        <v>377</v>
      </c>
    </row>
    <row r="148" spans="3:4" x14ac:dyDescent="0.35">
      <c r="D148" s="11" t="s">
        <v>203</v>
      </c>
    </row>
    <row r="149" spans="3:4" x14ac:dyDescent="0.35">
      <c r="D149" s="17">
        <v>46090</v>
      </c>
    </row>
    <row r="150" spans="3:4" x14ac:dyDescent="0.35">
      <c r="D150" s="3" t="s">
        <v>402</v>
      </c>
    </row>
    <row r="151" spans="3:4" x14ac:dyDescent="0.35">
      <c r="D151" s="11" t="s">
        <v>202</v>
      </c>
    </row>
    <row r="152" spans="3:4" x14ac:dyDescent="0.35">
      <c r="D152" s="17">
        <v>46127</v>
      </c>
    </row>
    <row r="153" spans="3:4" x14ac:dyDescent="0.35">
      <c r="D153" s="3" t="s">
        <v>452</v>
      </c>
    </row>
    <row r="154" spans="3:4" x14ac:dyDescent="0.35">
      <c r="D154" s="11" t="s">
        <v>202</v>
      </c>
    </row>
    <row r="155" spans="3:4" x14ac:dyDescent="0.35">
      <c r="C155" s="2" t="s">
        <v>75</v>
      </c>
      <c r="D155" s="17">
        <v>46076</v>
      </c>
    </row>
    <row r="156" spans="3:4" x14ac:dyDescent="0.35">
      <c r="D156" s="3" t="s">
        <v>380</v>
      </c>
    </row>
    <row r="157" spans="3:4" x14ac:dyDescent="0.35">
      <c r="D157" s="11" t="s">
        <v>202</v>
      </c>
    </row>
    <row r="158" spans="3:4" x14ac:dyDescent="0.35">
      <c r="D158" s="17">
        <v>46085</v>
      </c>
    </row>
    <row r="159" spans="3:4" x14ac:dyDescent="0.35">
      <c r="D159" s="3" t="s">
        <v>380</v>
      </c>
    </row>
    <row r="160" spans="3:4" x14ac:dyDescent="0.35">
      <c r="D160" s="11" t="s">
        <v>59</v>
      </c>
    </row>
    <row r="161" spans="3:4" x14ac:dyDescent="0.35">
      <c r="D161" s="17">
        <v>46090</v>
      </c>
    </row>
    <row r="162" spans="3:4" x14ac:dyDescent="0.35">
      <c r="D162" s="3" t="s">
        <v>380</v>
      </c>
    </row>
    <row r="163" spans="3:4" x14ac:dyDescent="0.35">
      <c r="D163" s="11" t="s">
        <v>204</v>
      </c>
    </row>
    <row r="164" spans="3:4" x14ac:dyDescent="0.35">
      <c r="C164" s="2" t="s">
        <v>106</v>
      </c>
      <c r="D164" s="17">
        <v>46078</v>
      </c>
    </row>
    <row r="165" spans="3:4" x14ac:dyDescent="0.35">
      <c r="D165" s="3" t="s">
        <v>377</v>
      </c>
    </row>
    <row r="166" spans="3:4" x14ac:dyDescent="0.35">
      <c r="D166" s="11" t="s">
        <v>202</v>
      </c>
    </row>
    <row r="167" spans="3:4" x14ac:dyDescent="0.35">
      <c r="D167" s="17">
        <v>46085</v>
      </c>
    </row>
    <row r="168" spans="3:4" x14ac:dyDescent="0.35">
      <c r="D168" s="3" t="s">
        <v>407</v>
      </c>
    </row>
    <row r="169" spans="3:4" x14ac:dyDescent="0.35">
      <c r="D169" s="11" t="s">
        <v>202</v>
      </c>
    </row>
    <row r="170" spans="3:4" x14ac:dyDescent="0.35">
      <c r="D170" s="17">
        <v>46086</v>
      </c>
    </row>
    <row r="171" spans="3:4" x14ac:dyDescent="0.35">
      <c r="D171" s="3" t="s">
        <v>377</v>
      </c>
    </row>
    <row r="172" spans="3:4" x14ac:dyDescent="0.35">
      <c r="D172" s="11" t="s">
        <v>203</v>
      </c>
    </row>
    <row r="173" spans="3:4" x14ac:dyDescent="0.35">
      <c r="D173" s="17">
        <v>46104</v>
      </c>
    </row>
    <row r="174" spans="3:4" x14ac:dyDescent="0.35">
      <c r="D174" s="3" t="s">
        <v>407</v>
      </c>
    </row>
    <row r="175" spans="3:4" x14ac:dyDescent="0.35">
      <c r="D175" s="11" t="s">
        <v>203</v>
      </c>
    </row>
    <row r="176" spans="3:4" x14ac:dyDescent="0.35">
      <c r="D176" s="17">
        <v>46108</v>
      </c>
    </row>
    <row r="177" spans="2:4" x14ac:dyDescent="0.35">
      <c r="D177" s="3" t="s">
        <v>394</v>
      </c>
    </row>
    <row r="178" spans="2:4" x14ac:dyDescent="0.35">
      <c r="D178" s="11" t="s">
        <v>202</v>
      </c>
    </row>
    <row r="179" spans="2:4" x14ac:dyDescent="0.35">
      <c r="D179" s="17">
        <v>46135</v>
      </c>
    </row>
    <row r="180" spans="2:4" x14ac:dyDescent="0.35">
      <c r="D180" s="3" t="s">
        <v>394</v>
      </c>
    </row>
    <row r="181" spans="2:4" x14ac:dyDescent="0.35">
      <c r="D181" s="11" t="s">
        <v>59</v>
      </c>
    </row>
    <row r="182" spans="2:4" x14ac:dyDescent="0.35">
      <c r="C182" s="2" t="s">
        <v>98</v>
      </c>
      <c r="D182" s="17">
        <v>46083</v>
      </c>
    </row>
    <row r="183" spans="2:4" x14ac:dyDescent="0.35">
      <c r="D183" s="3" t="s">
        <v>394</v>
      </c>
    </row>
    <row r="184" spans="2:4" x14ac:dyDescent="0.35">
      <c r="D184" s="11" t="s">
        <v>202</v>
      </c>
    </row>
    <row r="185" spans="2:4" x14ac:dyDescent="0.35">
      <c r="C185" s="2" t="s">
        <v>82</v>
      </c>
      <c r="D185" s="17">
        <v>46135</v>
      </c>
    </row>
    <row r="186" spans="2:4" x14ac:dyDescent="0.35">
      <c r="D186" s="3" t="s">
        <v>448</v>
      </c>
    </row>
    <row r="187" spans="2:4" x14ac:dyDescent="0.35">
      <c r="D187" s="11" t="s">
        <v>202</v>
      </c>
    </row>
    <row r="188" spans="2:4" x14ac:dyDescent="0.35">
      <c r="C188" s="2" t="s">
        <v>91</v>
      </c>
      <c r="D188" s="17">
        <v>46135</v>
      </c>
    </row>
    <row r="189" spans="2:4" x14ac:dyDescent="0.35">
      <c r="D189" s="3" t="s">
        <v>448</v>
      </c>
    </row>
    <row r="190" spans="2:4" x14ac:dyDescent="0.35">
      <c r="D190" s="11" t="s">
        <v>202</v>
      </c>
    </row>
    <row r="191" spans="2:4" x14ac:dyDescent="0.35">
      <c r="B191" s="2" t="s">
        <v>31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EF9D-1FCA-488B-9914-A2F620443BF4}">
  <sheetPr codeName="Full7"/>
  <dimension ref="A1:E18"/>
  <sheetViews>
    <sheetView workbookViewId="0">
      <selection activeCell="C18" sqref="C18"/>
    </sheetView>
  </sheetViews>
  <sheetFormatPr defaultRowHeight="14.5" x14ac:dyDescent="0.35"/>
  <cols>
    <col min="1" max="1" width="23.36328125" bestFit="1" customWidth="1"/>
    <col min="3" max="3" width="46.7265625" bestFit="1" customWidth="1"/>
    <col min="5" max="5" width="11.26953125" bestFit="1" customWidth="1"/>
  </cols>
  <sheetData>
    <row r="1" spans="1:5" x14ac:dyDescent="0.35">
      <c r="A1" t="s">
        <v>0</v>
      </c>
      <c r="C1" t="s">
        <v>58</v>
      </c>
      <c r="E1" t="s">
        <v>48</v>
      </c>
    </row>
    <row r="2" spans="1:5" x14ac:dyDescent="0.35">
      <c r="A2" t="s">
        <v>51</v>
      </c>
      <c r="C2" t="s">
        <v>202</v>
      </c>
      <c r="E2" t="s">
        <v>29</v>
      </c>
    </row>
    <row r="3" spans="1:5" x14ac:dyDescent="0.35">
      <c r="A3" t="s">
        <v>29</v>
      </c>
      <c r="C3" t="s">
        <v>203</v>
      </c>
      <c r="E3" t="s">
        <v>2</v>
      </c>
    </row>
    <row r="4" spans="1:5" x14ac:dyDescent="0.35">
      <c r="A4" t="s">
        <v>2</v>
      </c>
      <c r="C4" t="s">
        <v>204</v>
      </c>
      <c r="E4" t="s">
        <v>1</v>
      </c>
    </row>
    <row r="5" spans="1:5" x14ac:dyDescent="0.35">
      <c r="A5" t="s">
        <v>1</v>
      </c>
      <c r="C5" t="s">
        <v>205</v>
      </c>
      <c r="E5" t="s">
        <v>217</v>
      </c>
    </row>
    <row r="6" spans="1:5" x14ac:dyDescent="0.35">
      <c r="A6" t="s">
        <v>35</v>
      </c>
      <c r="C6" t="s">
        <v>206</v>
      </c>
      <c r="E6" t="s">
        <v>428</v>
      </c>
    </row>
    <row r="7" spans="1:5" x14ac:dyDescent="0.35">
      <c r="A7" t="s">
        <v>36</v>
      </c>
      <c r="C7" t="s">
        <v>207</v>
      </c>
    </row>
    <row r="8" spans="1:5" x14ac:dyDescent="0.35">
      <c r="A8" t="s">
        <v>50</v>
      </c>
      <c r="C8" t="s">
        <v>208</v>
      </c>
    </row>
    <row r="9" spans="1:5" x14ac:dyDescent="0.35">
      <c r="A9" t="s">
        <v>26</v>
      </c>
      <c r="C9" t="s">
        <v>209</v>
      </c>
    </row>
    <row r="10" spans="1:5" x14ac:dyDescent="0.35">
      <c r="A10" t="s">
        <v>27</v>
      </c>
      <c r="C10" t="s">
        <v>210</v>
      </c>
    </row>
    <row r="11" spans="1:5" x14ac:dyDescent="0.35">
      <c r="A11" t="s">
        <v>28</v>
      </c>
      <c r="C11" t="s">
        <v>211</v>
      </c>
    </row>
    <row r="12" spans="1:5" x14ac:dyDescent="0.35">
      <c r="A12" t="s">
        <v>53</v>
      </c>
      <c r="C12" t="s">
        <v>212</v>
      </c>
    </row>
    <row r="13" spans="1:5" x14ac:dyDescent="0.35">
      <c r="A13" t="s">
        <v>54</v>
      </c>
      <c r="C13" t="s">
        <v>59</v>
      </c>
    </row>
    <row r="14" spans="1:5" x14ac:dyDescent="0.35">
      <c r="A14" t="s">
        <v>66</v>
      </c>
      <c r="C14" t="s">
        <v>69</v>
      </c>
    </row>
    <row r="15" spans="1:5" x14ac:dyDescent="0.35">
      <c r="A15" t="s">
        <v>0</v>
      </c>
      <c r="C15" t="s">
        <v>5</v>
      </c>
    </row>
    <row r="16" spans="1:5" x14ac:dyDescent="0.35">
      <c r="C16" t="s">
        <v>391</v>
      </c>
    </row>
    <row r="17" spans="3:3" x14ac:dyDescent="0.35">
      <c r="C17" t="s">
        <v>397</v>
      </c>
    </row>
    <row r="18" spans="3:3" x14ac:dyDescent="0.35">
      <c r="C18" t="s">
        <v>459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12DB-30C4-4505-BD16-367842F7298A}">
  <dimension ref="A1:Q29"/>
  <sheetViews>
    <sheetView workbookViewId="0">
      <selection activeCell="A29" sqref="A29"/>
    </sheetView>
  </sheetViews>
  <sheetFormatPr defaultRowHeight="14.5" x14ac:dyDescent="0.35"/>
  <cols>
    <col min="1" max="1" width="16.36328125" style="23" bestFit="1" customWidth="1"/>
    <col min="2" max="2" width="32.36328125" style="23" bestFit="1" customWidth="1"/>
    <col min="3" max="3" width="46.08984375" style="23" bestFit="1" customWidth="1"/>
    <col min="4" max="4" width="12.90625" style="23" bestFit="1" customWidth="1"/>
    <col min="5" max="5" width="12.54296875" style="23" bestFit="1" customWidth="1"/>
    <col min="6" max="6" width="13" style="23" bestFit="1" customWidth="1"/>
    <col min="7" max="7" width="21.1796875" style="23" bestFit="1" customWidth="1"/>
    <col min="8" max="8" width="39.54296875" style="23" bestFit="1" customWidth="1"/>
    <col min="9" max="9" width="20.90625" style="23" bestFit="1" customWidth="1"/>
    <col min="10" max="10" width="8.6328125" style="24" customWidth="1"/>
    <col min="11" max="11" width="14.08984375" style="25" customWidth="1"/>
    <col min="12" max="12" width="32.36328125" style="23" bestFit="1" customWidth="1"/>
    <col min="13" max="13" width="19.1796875" style="26" customWidth="1"/>
    <col min="14" max="14" width="17.54296875" style="27" bestFit="1" customWidth="1"/>
    <col min="15" max="15" width="15.81640625" style="31" bestFit="1" customWidth="1"/>
    <col min="16" max="16" width="12.6328125" style="28" bestFit="1" customWidth="1"/>
    <col min="17" max="17" width="255.6328125" style="23" bestFit="1" customWidth="1"/>
    <col min="18" max="16384" width="8.7265625" style="23"/>
  </cols>
  <sheetData>
    <row r="1" spans="1:17" x14ac:dyDescent="0.35">
      <c r="A1" s="23" t="s">
        <v>218</v>
      </c>
      <c r="B1" s="23" t="s">
        <v>219</v>
      </c>
      <c r="C1" s="23" t="s">
        <v>220</v>
      </c>
      <c r="D1" s="23" t="s">
        <v>37</v>
      </c>
      <c r="E1" s="23" t="s">
        <v>38</v>
      </c>
      <c r="F1" s="23" t="s">
        <v>39</v>
      </c>
      <c r="G1" s="23" t="s">
        <v>8</v>
      </c>
      <c r="H1" s="23" t="s">
        <v>6</v>
      </c>
      <c r="I1" s="23" t="s">
        <v>221</v>
      </c>
      <c r="J1" s="24" t="s">
        <v>40</v>
      </c>
      <c r="K1" s="25" t="s">
        <v>34</v>
      </c>
      <c r="L1" s="23" t="s">
        <v>41</v>
      </c>
      <c r="M1" s="26" t="s">
        <v>42</v>
      </c>
      <c r="N1" s="27" t="s">
        <v>365</v>
      </c>
      <c r="O1" s="31" t="s">
        <v>364</v>
      </c>
      <c r="P1" s="28" t="s">
        <v>222</v>
      </c>
      <c r="Q1" s="23" t="s">
        <v>25</v>
      </c>
    </row>
    <row r="2" spans="1:17" x14ac:dyDescent="0.35">
      <c r="A2" s="23">
        <v>46057.73847222222</v>
      </c>
      <c r="B2" s="23" t="s">
        <v>173</v>
      </c>
      <c r="C2" s="23" t="s">
        <v>223</v>
      </c>
      <c r="D2" s="23" t="s">
        <v>341</v>
      </c>
      <c r="E2" s="23" t="s">
        <v>342</v>
      </c>
      <c r="F2" s="23" t="s">
        <v>343</v>
      </c>
      <c r="G2" s="23" t="s">
        <v>344</v>
      </c>
      <c r="H2" s="23" t="s">
        <v>345</v>
      </c>
      <c r="I2" s="23" t="s">
        <v>346</v>
      </c>
      <c r="J2" s="24">
        <v>8850</v>
      </c>
      <c r="K2" s="25">
        <v>677653250</v>
      </c>
      <c r="L2" s="23" t="s">
        <v>173</v>
      </c>
      <c r="M2" s="26">
        <v>39307</v>
      </c>
      <c r="N2" s="27" t="s">
        <v>350</v>
      </c>
      <c r="O2" s="31" t="s">
        <v>334</v>
      </c>
      <c r="P2" s="28" t="s">
        <v>229</v>
      </c>
      <c r="Q2" s="23" t="s">
        <v>347</v>
      </c>
    </row>
    <row r="3" spans="1:17" x14ac:dyDescent="0.35">
      <c r="A3" s="23">
        <v>46055.69568287037</v>
      </c>
      <c r="B3" s="23" t="s">
        <v>174</v>
      </c>
      <c r="C3" s="23" t="s">
        <v>223</v>
      </c>
      <c r="D3" s="23" t="s">
        <v>147</v>
      </c>
      <c r="E3" s="23" t="s">
        <v>256</v>
      </c>
      <c r="F3" s="23" t="s">
        <v>257</v>
      </c>
      <c r="G3" s="23" t="s">
        <v>258</v>
      </c>
      <c r="H3" s="23" t="s">
        <v>259</v>
      </c>
      <c r="I3" s="23" t="s">
        <v>381</v>
      </c>
      <c r="J3" s="24">
        <v>8960</v>
      </c>
      <c r="K3" s="25">
        <v>689066146</v>
      </c>
      <c r="L3" s="23" t="s">
        <v>174</v>
      </c>
      <c r="M3" s="26">
        <v>39161</v>
      </c>
      <c r="N3" s="27" t="s">
        <v>348</v>
      </c>
      <c r="O3" s="31">
        <v>81272358665</v>
      </c>
      <c r="P3" s="28" t="s">
        <v>229</v>
      </c>
      <c r="Q3" s="23" t="s">
        <v>260</v>
      </c>
    </row>
    <row r="4" spans="1:17" x14ac:dyDescent="0.35">
      <c r="A4" s="23">
        <v>46055.692291666666</v>
      </c>
      <c r="B4" s="23" t="s">
        <v>175</v>
      </c>
      <c r="C4" s="23" t="s">
        <v>223</v>
      </c>
      <c r="D4" s="23" t="s">
        <v>148</v>
      </c>
      <c r="E4" s="23" t="s">
        <v>276</v>
      </c>
      <c r="F4" s="23" t="s">
        <v>277</v>
      </c>
      <c r="G4" s="23" t="s">
        <v>19</v>
      </c>
      <c r="H4" s="23" t="s">
        <v>278</v>
      </c>
      <c r="I4" s="23" t="s">
        <v>279</v>
      </c>
      <c r="J4" s="24">
        <v>8620</v>
      </c>
      <c r="K4" s="25">
        <v>622851303</v>
      </c>
      <c r="L4" s="23" t="s">
        <v>175</v>
      </c>
      <c r="M4" s="26">
        <v>39154</v>
      </c>
      <c r="N4" s="27" t="s">
        <v>351</v>
      </c>
      <c r="O4" s="31">
        <v>81472398735</v>
      </c>
      <c r="P4" s="28" t="s">
        <v>229</v>
      </c>
      <c r="Q4" s="23" t="s">
        <v>280</v>
      </c>
    </row>
    <row r="5" spans="1:17" x14ac:dyDescent="0.35">
      <c r="A5" s="23">
        <v>46056.536874999998</v>
      </c>
      <c r="B5" s="23" t="s">
        <v>176</v>
      </c>
      <c r="C5" s="23" t="s">
        <v>223</v>
      </c>
      <c r="D5" s="23" t="s">
        <v>149</v>
      </c>
      <c r="E5" s="23" t="s">
        <v>266</v>
      </c>
      <c r="F5" s="23" t="s">
        <v>267</v>
      </c>
      <c r="G5" s="23" t="s">
        <v>16</v>
      </c>
      <c r="H5" s="23" t="s">
        <v>268</v>
      </c>
      <c r="I5" s="23" t="s">
        <v>239</v>
      </c>
      <c r="J5" s="24">
        <v>8024</v>
      </c>
      <c r="K5" s="25">
        <v>617342497</v>
      </c>
      <c r="L5" s="23" t="s">
        <v>176</v>
      </c>
      <c r="M5" s="26">
        <v>38693</v>
      </c>
      <c r="N5" s="27" t="s">
        <v>352</v>
      </c>
      <c r="O5" s="31">
        <v>81473104108</v>
      </c>
      <c r="P5" s="28" t="s">
        <v>229</v>
      </c>
      <c r="Q5" s="23" t="s">
        <v>269</v>
      </c>
    </row>
    <row r="6" spans="1:17" x14ac:dyDescent="0.35">
      <c r="A6" s="23">
        <v>46055.705381944441</v>
      </c>
      <c r="B6" s="23" t="s">
        <v>177</v>
      </c>
      <c r="C6" s="23" t="s">
        <v>223</v>
      </c>
      <c r="D6" s="23" t="s">
        <v>150</v>
      </c>
      <c r="E6" s="23" t="s">
        <v>224</v>
      </c>
      <c r="F6" s="23" t="s">
        <v>225</v>
      </c>
      <c r="G6" s="23" t="s">
        <v>81</v>
      </c>
      <c r="H6" s="23" t="s">
        <v>226</v>
      </c>
      <c r="I6" s="23" t="s">
        <v>227</v>
      </c>
      <c r="J6" s="24">
        <v>8292</v>
      </c>
      <c r="K6" s="25">
        <v>638383900</v>
      </c>
      <c r="L6" s="23" t="s">
        <v>177</v>
      </c>
      <c r="M6" s="26">
        <v>39342</v>
      </c>
      <c r="N6" s="27" t="s">
        <v>228</v>
      </c>
      <c r="O6" s="31">
        <v>81472197459</v>
      </c>
      <c r="P6" s="28" t="s">
        <v>229</v>
      </c>
      <c r="Q6" s="23" t="s">
        <v>230</v>
      </c>
    </row>
    <row r="7" spans="1:17" x14ac:dyDescent="0.35">
      <c r="A7" s="23">
        <v>46055.953530092593</v>
      </c>
      <c r="B7" s="23" t="s">
        <v>178</v>
      </c>
      <c r="C7" s="23" t="s">
        <v>223</v>
      </c>
      <c r="D7" s="23" t="s">
        <v>151</v>
      </c>
      <c r="E7" s="23" t="s">
        <v>281</v>
      </c>
      <c r="F7" s="23" t="s">
        <v>282</v>
      </c>
      <c r="G7" s="23" t="s">
        <v>84</v>
      </c>
      <c r="H7" s="23" t="s">
        <v>283</v>
      </c>
      <c r="I7" s="23" t="s">
        <v>234</v>
      </c>
      <c r="J7" s="24">
        <v>8191</v>
      </c>
      <c r="K7" s="25">
        <v>722586444</v>
      </c>
      <c r="L7" s="23" t="s">
        <v>178</v>
      </c>
      <c r="M7" s="26">
        <v>39239</v>
      </c>
      <c r="N7" s="27" t="s">
        <v>284</v>
      </c>
      <c r="O7" s="31">
        <v>281595167663</v>
      </c>
      <c r="P7" s="28" t="s">
        <v>229</v>
      </c>
      <c r="Q7" s="23" t="s">
        <v>285</v>
      </c>
    </row>
    <row r="8" spans="1:17" x14ac:dyDescent="0.35">
      <c r="A8" s="23">
        <v>46062.673715277779</v>
      </c>
      <c r="B8" s="23" t="s">
        <v>179</v>
      </c>
      <c r="C8" s="23" t="s">
        <v>223</v>
      </c>
      <c r="D8" s="23" t="s">
        <v>152</v>
      </c>
      <c r="E8" s="23" t="s">
        <v>314</v>
      </c>
      <c r="F8" s="23" t="s">
        <v>315</v>
      </c>
      <c r="G8" s="23" t="s">
        <v>87</v>
      </c>
      <c r="H8" s="23" t="s">
        <v>316</v>
      </c>
      <c r="I8" s="23" t="s">
        <v>311</v>
      </c>
      <c r="J8" s="24">
        <v>8980</v>
      </c>
      <c r="K8" s="25">
        <v>676023741</v>
      </c>
      <c r="L8" s="23" t="s">
        <v>179</v>
      </c>
      <c r="M8" s="26">
        <v>39378</v>
      </c>
      <c r="N8" s="27" t="s">
        <v>317</v>
      </c>
      <c r="O8" s="31">
        <v>81379105448</v>
      </c>
      <c r="P8" s="28" t="s">
        <v>229</v>
      </c>
      <c r="Q8" s="23" t="s">
        <v>318</v>
      </c>
    </row>
    <row r="9" spans="1:17" x14ac:dyDescent="0.35">
      <c r="A9" s="23">
        <v>46056.939768518518</v>
      </c>
      <c r="B9" s="23" t="s">
        <v>180</v>
      </c>
      <c r="C9" s="23" t="s">
        <v>223</v>
      </c>
      <c r="D9" s="23" t="s">
        <v>153</v>
      </c>
      <c r="E9" s="23" t="s">
        <v>244</v>
      </c>
      <c r="F9" s="23" t="s">
        <v>245</v>
      </c>
      <c r="G9" s="23" t="s">
        <v>90</v>
      </c>
      <c r="H9" s="23" t="s">
        <v>246</v>
      </c>
      <c r="I9" s="23" t="s">
        <v>239</v>
      </c>
      <c r="J9" s="24">
        <v>8016</v>
      </c>
      <c r="K9" s="25">
        <v>691095180</v>
      </c>
      <c r="L9" s="23" t="s">
        <v>180</v>
      </c>
      <c r="M9" s="26">
        <v>39078</v>
      </c>
      <c r="N9" s="27" t="s">
        <v>353</v>
      </c>
      <c r="O9" s="31">
        <v>81472172096</v>
      </c>
      <c r="P9" s="28" t="s">
        <v>229</v>
      </c>
    </row>
    <row r="10" spans="1:17" x14ac:dyDescent="0.35">
      <c r="A10" s="23">
        <v>46055.701805555553</v>
      </c>
      <c r="B10" s="23" t="s">
        <v>181</v>
      </c>
      <c r="C10" s="23" t="s">
        <v>223</v>
      </c>
      <c r="D10" s="23" t="s">
        <v>154</v>
      </c>
      <c r="E10" s="23" t="s">
        <v>247</v>
      </c>
      <c r="F10" s="23" t="s">
        <v>248</v>
      </c>
      <c r="G10" s="23" t="s">
        <v>94</v>
      </c>
      <c r="H10" s="23" t="s">
        <v>249</v>
      </c>
      <c r="I10" s="23" t="s">
        <v>250</v>
      </c>
      <c r="J10" s="24">
        <v>8860</v>
      </c>
      <c r="K10" s="25">
        <v>648635894</v>
      </c>
      <c r="L10" s="23" t="s">
        <v>181</v>
      </c>
      <c r="M10" s="26">
        <v>39291</v>
      </c>
      <c r="N10" s="27" t="s">
        <v>354</v>
      </c>
      <c r="O10" s="31">
        <v>81472194126</v>
      </c>
      <c r="P10" s="28" t="s">
        <v>229</v>
      </c>
      <c r="Q10" s="23" t="s">
        <v>251</v>
      </c>
    </row>
    <row r="11" spans="1:17" x14ac:dyDescent="0.35">
      <c r="A11" s="23">
        <v>46055.765081018515</v>
      </c>
      <c r="B11" s="23" t="s">
        <v>182</v>
      </c>
      <c r="C11" s="23" t="s">
        <v>223</v>
      </c>
      <c r="D11" s="23" t="s">
        <v>155</v>
      </c>
      <c r="E11" s="23" t="s">
        <v>96</v>
      </c>
      <c r="G11" s="23" t="s">
        <v>335</v>
      </c>
      <c r="H11" s="23" t="s">
        <v>336</v>
      </c>
      <c r="I11" s="23" t="s">
        <v>326</v>
      </c>
      <c r="J11" s="24">
        <v>8198</v>
      </c>
      <c r="K11" s="25">
        <v>695456973</v>
      </c>
      <c r="L11" s="23" t="s">
        <v>182</v>
      </c>
      <c r="M11" s="26">
        <v>39014</v>
      </c>
      <c r="N11" s="27" t="s">
        <v>355</v>
      </c>
      <c r="O11" s="31">
        <v>81513502685</v>
      </c>
      <c r="P11" s="28" t="s">
        <v>229</v>
      </c>
    </row>
    <row r="12" spans="1:17" x14ac:dyDescent="0.35">
      <c r="A12" s="23">
        <v>46056.505497685182</v>
      </c>
      <c r="B12" s="23" t="s">
        <v>183</v>
      </c>
      <c r="C12" s="23" t="s">
        <v>223</v>
      </c>
      <c r="D12" s="23" t="s">
        <v>156</v>
      </c>
      <c r="E12" s="23" t="s">
        <v>252</v>
      </c>
      <c r="F12" s="23" t="s">
        <v>45</v>
      </c>
      <c r="G12" s="23" t="s">
        <v>19</v>
      </c>
      <c r="H12" s="23" t="s">
        <v>253</v>
      </c>
      <c r="I12" s="23" t="s">
        <v>254</v>
      </c>
      <c r="J12" s="24">
        <v>8902</v>
      </c>
      <c r="K12" s="25">
        <v>679330382</v>
      </c>
      <c r="L12" s="23" t="s">
        <v>183</v>
      </c>
      <c r="M12" s="26">
        <v>38734</v>
      </c>
      <c r="N12" s="27" t="s">
        <v>356</v>
      </c>
      <c r="O12" s="31">
        <v>81472210391</v>
      </c>
      <c r="P12" s="28" t="s">
        <v>229</v>
      </c>
      <c r="Q12" s="23" t="s">
        <v>255</v>
      </c>
    </row>
    <row r="13" spans="1:17" x14ac:dyDescent="0.35">
      <c r="A13" s="23">
        <v>46055.870115740741</v>
      </c>
      <c r="B13" s="23" t="s">
        <v>184</v>
      </c>
      <c r="C13" s="23" t="s">
        <v>223</v>
      </c>
      <c r="D13" s="23" t="s">
        <v>157</v>
      </c>
      <c r="E13" s="23" t="s">
        <v>261</v>
      </c>
      <c r="F13" s="23" t="s">
        <v>262</v>
      </c>
      <c r="G13" s="23" t="s">
        <v>18</v>
      </c>
      <c r="H13" s="23" t="s">
        <v>263</v>
      </c>
      <c r="I13" s="23" t="s">
        <v>264</v>
      </c>
      <c r="J13" s="24">
        <v>8940</v>
      </c>
      <c r="K13" s="25">
        <v>673319530</v>
      </c>
      <c r="L13" s="23" t="s">
        <v>184</v>
      </c>
      <c r="M13" s="26">
        <v>38782</v>
      </c>
      <c r="N13" s="27" t="s">
        <v>265</v>
      </c>
      <c r="O13" s="31">
        <v>81499953910</v>
      </c>
      <c r="P13" s="28" t="s">
        <v>229</v>
      </c>
    </row>
    <row r="14" spans="1:17" x14ac:dyDescent="0.35">
      <c r="A14" s="23">
        <v>46057.673888888887</v>
      </c>
      <c r="B14" s="23" t="s">
        <v>185</v>
      </c>
      <c r="C14" s="23" t="s">
        <v>223</v>
      </c>
      <c r="D14" s="23" t="s">
        <v>158</v>
      </c>
      <c r="E14" s="23" t="s">
        <v>337</v>
      </c>
      <c r="F14" s="23" t="s">
        <v>338</v>
      </c>
      <c r="G14" s="23" t="s">
        <v>339</v>
      </c>
      <c r="H14" s="23" t="s">
        <v>340</v>
      </c>
      <c r="I14" s="23" t="s">
        <v>326</v>
      </c>
      <c r="J14" s="24">
        <v>8173</v>
      </c>
      <c r="K14" s="25">
        <v>662933188</v>
      </c>
      <c r="L14" s="23" t="s">
        <v>185</v>
      </c>
      <c r="M14" s="26">
        <v>38468</v>
      </c>
      <c r="N14" s="27" t="s">
        <v>357</v>
      </c>
      <c r="O14" s="31">
        <v>81357068563</v>
      </c>
      <c r="P14" s="28" t="s">
        <v>229</v>
      </c>
    </row>
    <row r="15" spans="1:17" x14ac:dyDescent="0.35">
      <c r="A15" s="23">
        <v>46055.744745370372</v>
      </c>
      <c r="B15" s="23" t="s">
        <v>187</v>
      </c>
      <c r="C15" s="23" t="s">
        <v>223</v>
      </c>
      <c r="D15" s="23" t="s">
        <v>160</v>
      </c>
      <c r="E15" s="23" t="s">
        <v>240</v>
      </c>
      <c r="F15" s="23" t="s">
        <v>241</v>
      </c>
      <c r="G15" s="23" t="s">
        <v>110</v>
      </c>
      <c r="H15" s="23" t="s">
        <v>242</v>
      </c>
      <c r="I15" s="23" t="s">
        <v>239</v>
      </c>
      <c r="J15" s="24">
        <v>8014</v>
      </c>
      <c r="K15" s="25">
        <v>691138993</v>
      </c>
      <c r="L15" s="23" t="s">
        <v>187</v>
      </c>
      <c r="M15" s="26">
        <v>34367</v>
      </c>
      <c r="N15" s="27" t="s">
        <v>358</v>
      </c>
      <c r="O15" s="31">
        <v>81217190826</v>
      </c>
      <c r="P15" s="28" t="s">
        <v>229</v>
      </c>
      <c r="Q15" s="23" t="s">
        <v>243</v>
      </c>
    </row>
    <row r="16" spans="1:17" x14ac:dyDescent="0.35">
      <c r="A16" s="23">
        <v>46055.704710648148</v>
      </c>
      <c r="B16" s="23" t="s">
        <v>188</v>
      </c>
      <c r="C16" s="23" t="s">
        <v>223</v>
      </c>
      <c r="D16" s="23" t="s">
        <v>161</v>
      </c>
      <c r="E16" s="23" t="s">
        <v>308</v>
      </c>
      <c r="F16" s="23" t="s">
        <v>309</v>
      </c>
      <c r="G16" s="23" t="s">
        <v>81</v>
      </c>
      <c r="H16" s="23" t="s">
        <v>310</v>
      </c>
      <c r="I16" s="23" t="s">
        <v>311</v>
      </c>
      <c r="J16" s="24">
        <v>8980</v>
      </c>
      <c r="K16" s="25">
        <v>697437991</v>
      </c>
      <c r="L16" s="23" t="s">
        <v>188</v>
      </c>
      <c r="M16" s="26">
        <v>39063</v>
      </c>
      <c r="N16" s="27" t="s">
        <v>312</v>
      </c>
      <c r="O16" s="31">
        <v>81377464734</v>
      </c>
      <c r="P16" s="28" t="s">
        <v>229</v>
      </c>
      <c r="Q16" s="23" t="s">
        <v>313</v>
      </c>
    </row>
    <row r="17" spans="1:17" x14ac:dyDescent="0.35">
      <c r="A17" s="23">
        <v>46055.72247685185</v>
      </c>
      <c r="B17" s="23" t="s">
        <v>189</v>
      </c>
      <c r="C17" s="23" t="s">
        <v>223</v>
      </c>
      <c r="D17" s="23" t="s">
        <v>162</v>
      </c>
      <c r="E17" s="23" t="s">
        <v>231</v>
      </c>
      <c r="F17" s="23" t="s">
        <v>232</v>
      </c>
      <c r="G17" s="23" t="s">
        <v>115</v>
      </c>
      <c r="H17" s="23" t="s">
        <v>233</v>
      </c>
      <c r="I17" s="23" t="s">
        <v>234</v>
      </c>
      <c r="J17" s="24">
        <v>8191</v>
      </c>
      <c r="K17" s="25">
        <v>687850776</v>
      </c>
      <c r="L17" s="23" t="s">
        <v>189</v>
      </c>
      <c r="M17" s="26">
        <v>39162</v>
      </c>
      <c r="N17" s="27" t="s">
        <v>235</v>
      </c>
      <c r="O17" s="31">
        <v>81378007227</v>
      </c>
      <c r="P17" s="28" t="s">
        <v>229</v>
      </c>
    </row>
    <row r="18" spans="1:17" x14ac:dyDescent="0.35">
      <c r="A18" s="23">
        <v>46055.695659722223</v>
      </c>
      <c r="B18" s="23" t="s">
        <v>190</v>
      </c>
      <c r="C18" s="23" t="s">
        <v>223</v>
      </c>
      <c r="D18" s="23" t="s">
        <v>163</v>
      </c>
      <c r="E18" s="23" t="s">
        <v>290</v>
      </c>
      <c r="F18" s="23" t="s">
        <v>291</v>
      </c>
      <c r="G18" s="23" t="s">
        <v>118</v>
      </c>
      <c r="H18" s="23" t="s">
        <v>292</v>
      </c>
      <c r="I18" s="23" t="s">
        <v>293</v>
      </c>
      <c r="J18" s="24">
        <v>8630</v>
      </c>
      <c r="K18" s="25">
        <v>622560326</v>
      </c>
      <c r="L18" s="23" t="s">
        <v>190</v>
      </c>
      <c r="M18" s="26">
        <v>39258</v>
      </c>
      <c r="N18" s="27" t="s">
        <v>359</v>
      </c>
      <c r="O18" s="31">
        <v>81472197863</v>
      </c>
      <c r="P18" s="28" t="s">
        <v>229</v>
      </c>
      <c r="Q18" s="23" t="s">
        <v>294</v>
      </c>
    </row>
    <row r="19" spans="1:17" x14ac:dyDescent="0.35">
      <c r="A19" s="23">
        <v>46057.683993055558</v>
      </c>
      <c r="B19" s="23" t="s">
        <v>191</v>
      </c>
      <c r="C19" s="23" t="s">
        <v>223</v>
      </c>
      <c r="D19" s="23" t="s">
        <v>164</v>
      </c>
      <c r="E19" s="23" t="s">
        <v>286</v>
      </c>
      <c r="F19" s="23" t="s">
        <v>287</v>
      </c>
      <c r="G19" s="23" t="s">
        <v>121</v>
      </c>
      <c r="H19" s="23" t="s">
        <v>288</v>
      </c>
      <c r="I19" s="23" t="s">
        <v>239</v>
      </c>
      <c r="J19" s="24">
        <v>8038</v>
      </c>
      <c r="K19" s="25">
        <v>602464071</v>
      </c>
      <c r="L19" s="23" t="s">
        <v>191</v>
      </c>
      <c r="M19" s="26">
        <v>39322</v>
      </c>
      <c r="N19" s="27" t="s">
        <v>289</v>
      </c>
      <c r="O19" s="31">
        <v>81516553236</v>
      </c>
      <c r="P19" s="28" t="s">
        <v>229</v>
      </c>
    </row>
    <row r="20" spans="1:17" x14ac:dyDescent="0.35">
      <c r="A20" s="23">
        <v>46057.675208333334</v>
      </c>
      <c r="B20" s="23" t="s">
        <v>192</v>
      </c>
      <c r="C20" s="23" t="s">
        <v>223</v>
      </c>
      <c r="D20" s="23" t="s">
        <v>165</v>
      </c>
      <c r="E20" s="23" t="s">
        <v>319</v>
      </c>
      <c r="F20" s="23" t="s">
        <v>320</v>
      </c>
      <c r="G20" s="23" t="s">
        <v>124</v>
      </c>
      <c r="H20" s="23" t="s">
        <v>321</v>
      </c>
      <c r="I20" s="23" t="s">
        <v>239</v>
      </c>
      <c r="J20" s="24">
        <v>8015</v>
      </c>
      <c r="K20" s="25">
        <v>672729689</v>
      </c>
      <c r="L20" s="23" t="s">
        <v>192</v>
      </c>
      <c r="M20" s="26">
        <v>38141</v>
      </c>
      <c r="N20" s="27" t="s">
        <v>322</v>
      </c>
      <c r="O20" s="31">
        <v>81345281346</v>
      </c>
      <c r="P20" s="28" t="s">
        <v>229</v>
      </c>
    </row>
    <row r="21" spans="1:17" x14ac:dyDescent="0.35">
      <c r="A21" s="23">
        <v>46057.678912037038</v>
      </c>
      <c r="B21" s="23" t="s">
        <v>193</v>
      </c>
      <c r="C21" s="23" t="s">
        <v>223</v>
      </c>
      <c r="D21" s="23" t="s">
        <v>166</v>
      </c>
      <c r="E21" s="23" t="s">
        <v>270</v>
      </c>
      <c r="F21" s="23" t="s">
        <v>271</v>
      </c>
      <c r="G21" s="23" t="s">
        <v>127</v>
      </c>
      <c r="H21" s="23" t="s">
        <v>272</v>
      </c>
      <c r="I21" s="23" t="s">
        <v>273</v>
      </c>
      <c r="J21" s="24">
        <v>8790</v>
      </c>
      <c r="K21" s="25">
        <v>663910905</v>
      </c>
      <c r="L21" s="23" t="s">
        <v>193</v>
      </c>
      <c r="M21" s="26">
        <v>39035</v>
      </c>
      <c r="N21" s="27" t="s">
        <v>274</v>
      </c>
      <c r="O21" s="31">
        <v>81473024686</v>
      </c>
      <c r="P21" s="28" t="s">
        <v>229</v>
      </c>
      <c r="Q21" s="23" t="s">
        <v>275</v>
      </c>
    </row>
    <row r="22" spans="1:17" x14ac:dyDescent="0.35">
      <c r="A22" s="23">
        <v>46064.520300925928</v>
      </c>
      <c r="B22" s="23" t="s">
        <v>194</v>
      </c>
      <c r="C22" s="23" t="s">
        <v>223</v>
      </c>
      <c r="D22" s="23" t="s">
        <v>167</v>
      </c>
      <c r="E22" s="23" t="s">
        <v>304</v>
      </c>
      <c r="F22" s="23" t="s">
        <v>305</v>
      </c>
      <c r="G22" s="23" t="s">
        <v>130</v>
      </c>
      <c r="H22" s="23" t="s">
        <v>306</v>
      </c>
      <c r="I22" s="23" t="s">
        <v>234</v>
      </c>
      <c r="J22" s="24">
        <v>8191</v>
      </c>
      <c r="K22" s="25">
        <v>640368238</v>
      </c>
      <c r="L22" s="23" t="s">
        <v>194</v>
      </c>
      <c r="M22" s="26">
        <v>39365</v>
      </c>
      <c r="N22" s="27" t="s">
        <v>307</v>
      </c>
      <c r="O22" s="31">
        <v>81472251013</v>
      </c>
      <c r="P22" s="28" t="s">
        <v>229</v>
      </c>
    </row>
    <row r="23" spans="1:17" x14ac:dyDescent="0.35">
      <c r="A23" s="23">
        <v>46055.694456018522</v>
      </c>
      <c r="B23" s="23" t="s">
        <v>195</v>
      </c>
      <c r="C23" s="23" t="s">
        <v>223</v>
      </c>
      <c r="D23" s="23" t="s">
        <v>168</v>
      </c>
      <c r="E23" s="23" t="s">
        <v>295</v>
      </c>
      <c r="F23" s="23" t="s">
        <v>296</v>
      </c>
      <c r="G23" s="23" t="s">
        <v>14</v>
      </c>
      <c r="H23" s="23" t="s">
        <v>297</v>
      </c>
      <c r="I23" s="23" t="s">
        <v>239</v>
      </c>
      <c r="J23" s="24">
        <v>8038</v>
      </c>
      <c r="K23" s="25">
        <v>688785765</v>
      </c>
      <c r="L23" s="23" t="s">
        <v>195</v>
      </c>
      <c r="M23" s="26">
        <v>39282</v>
      </c>
      <c r="N23" s="27" t="s">
        <v>360</v>
      </c>
      <c r="O23" s="31">
        <v>81516648822</v>
      </c>
      <c r="P23" s="28" t="s">
        <v>229</v>
      </c>
      <c r="Q23" s="23" t="s">
        <v>298</v>
      </c>
    </row>
    <row r="24" spans="1:17" x14ac:dyDescent="0.35">
      <c r="A24" s="23">
        <v>46055.683333333334</v>
      </c>
      <c r="B24" s="23" t="s">
        <v>196</v>
      </c>
      <c r="C24" s="23" t="s">
        <v>223</v>
      </c>
      <c r="D24" s="23" t="s">
        <v>323</v>
      </c>
      <c r="E24" s="23" t="s">
        <v>324</v>
      </c>
      <c r="F24" s="23" t="s">
        <v>44</v>
      </c>
      <c r="G24" s="23" t="s">
        <v>92</v>
      </c>
      <c r="H24" s="23" t="s">
        <v>325</v>
      </c>
      <c r="I24" s="23" t="s">
        <v>326</v>
      </c>
      <c r="J24" s="24">
        <v>8195</v>
      </c>
      <c r="K24" s="25">
        <v>644417955</v>
      </c>
      <c r="L24" s="23" t="s">
        <v>196</v>
      </c>
      <c r="M24" s="26">
        <v>38964</v>
      </c>
      <c r="N24" s="27" t="s">
        <v>327</v>
      </c>
      <c r="O24" s="31">
        <v>81376947705</v>
      </c>
      <c r="P24" s="28" t="s">
        <v>229</v>
      </c>
    </row>
    <row r="25" spans="1:17" x14ac:dyDescent="0.35">
      <c r="A25" s="23">
        <v>46062.671516203707</v>
      </c>
      <c r="B25" s="23" t="s">
        <v>197</v>
      </c>
      <c r="C25" s="23" t="s">
        <v>223</v>
      </c>
      <c r="D25" s="23" t="s">
        <v>169</v>
      </c>
      <c r="E25" s="23" t="s">
        <v>328</v>
      </c>
      <c r="F25" s="23" t="s">
        <v>329</v>
      </c>
      <c r="G25" s="23" t="s">
        <v>137</v>
      </c>
      <c r="H25" s="23" t="s">
        <v>330</v>
      </c>
      <c r="I25" s="23" t="s">
        <v>254</v>
      </c>
      <c r="J25" s="24">
        <v>8905</v>
      </c>
      <c r="K25" s="25">
        <v>662535065</v>
      </c>
      <c r="L25" s="23" t="s">
        <v>197</v>
      </c>
      <c r="M25" s="26">
        <v>35376</v>
      </c>
      <c r="N25" s="27" t="s">
        <v>361</v>
      </c>
      <c r="O25" s="31">
        <v>81455961679</v>
      </c>
      <c r="P25" s="28" t="s">
        <v>229</v>
      </c>
    </row>
    <row r="26" spans="1:17" x14ac:dyDescent="0.35">
      <c r="A26" s="23">
        <v>46064.686076388891</v>
      </c>
      <c r="B26" s="23" t="s">
        <v>198</v>
      </c>
      <c r="C26" s="23" t="s">
        <v>223</v>
      </c>
      <c r="D26" s="23" t="s">
        <v>170</v>
      </c>
      <c r="E26" s="23" t="s">
        <v>236</v>
      </c>
      <c r="F26" s="23" t="s">
        <v>237</v>
      </c>
      <c r="G26" s="23" t="s">
        <v>140</v>
      </c>
      <c r="H26" s="23" t="s">
        <v>238</v>
      </c>
      <c r="I26" s="23" t="s">
        <v>239</v>
      </c>
      <c r="J26" s="24">
        <v>8038</v>
      </c>
      <c r="K26" s="25">
        <v>676857843</v>
      </c>
      <c r="L26" s="23" t="s">
        <v>198</v>
      </c>
      <c r="M26" s="26">
        <v>39111</v>
      </c>
      <c r="N26" s="27" t="s">
        <v>362</v>
      </c>
      <c r="O26" s="31">
        <v>81472138350</v>
      </c>
      <c r="P26" s="28" t="s">
        <v>229</v>
      </c>
    </row>
    <row r="27" spans="1:17" x14ac:dyDescent="0.35">
      <c r="A27" s="23">
        <v>46055.726759259262</v>
      </c>
      <c r="B27" s="23" t="s">
        <v>199</v>
      </c>
      <c r="C27" s="23" t="s">
        <v>223</v>
      </c>
      <c r="D27" s="23" t="s">
        <v>171</v>
      </c>
      <c r="E27" s="23" t="s">
        <v>331</v>
      </c>
      <c r="G27" s="23" t="s">
        <v>332</v>
      </c>
      <c r="H27" s="23" t="s">
        <v>333</v>
      </c>
      <c r="I27" s="23" t="s">
        <v>254</v>
      </c>
      <c r="J27" s="24">
        <v>8902</v>
      </c>
      <c r="K27" s="25">
        <v>640883727</v>
      </c>
      <c r="L27" s="23" t="s">
        <v>199</v>
      </c>
      <c r="M27" s="26">
        <v>38926</v>
      </c>
      <c r="N27" s="27" t="s">
        <v>363</v>
      </c>
      <c r="O27" s="31">
        <v>81472210694</v>
      </c>
      <c r="P27" s="28" t="s">
        <v>229</v>
      </c>
    </row>
    <row r="28" spans="1:17" x14ac:dyDescent="0.35">
      <c r="A28" s="23">
        <v>46055.699606481481</v>
      </c>
      <c r="B28" s="23" t="s">
        <v>200</v>
      </c>
      <c r="C28" s="23" t="s">
        <v>223</v>
      </c>
      <c r="D28" s="23" t="s">
        <v>299</v>
      </c>
      <c r="E28" s="23" t="s">
        <v>300</v>
      </c>
      <c r="F28" s="23" t="s">
        <v>301</v>
      </c>
      <c r="G28" s="23" t="s">
        <v>17</v>
      </c>
      <c r="H28" s="23" t="s">
        <v>302</v>
      </c>
      <c r="I28" s="23" t="s">
        <v>227</v>
      </c>
      <c r="J28" s="24">
        <v>8292</v>
      </c>
      <c r="K28" s="25">
        <v>694489035</v>
      </c>
      <c r="L28" s="23" t="s">
        <v>200</v>
      </c>
      <c r="M28" s="26">
        <v>39354</v>
      </c>
      <c r="N28" s="27" t="s">
        <v>303</v>
      </c>
      <c r="O28" s="31">
        <v>81471670124</v>
      </c>
      <c r="P28" s="28" t="s">
        <v>229</v>
      </c>
    </row>
    <row r="29" spans="1:17" x14ac:dyDescent="0.35">
      <c r="B29" s="23" t="s">
        <v>186</v>
      </c>
      <c r="C29" s="23" t="s">
        <v>223</v>
      </c>
      <c r="L29" s="23" t="s">
        <v>186</v>
      </c>
      <c r="P29" s="28" t="s">
        <v>229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BB44-EF8A-4785-AA6A-698A7966F64F}">
  <dimension ref="A1:E29"/>
  <sheetViews>
    <sheetView workbookViewId="0">
      <selection activeCell="D2" sqref="D2:D29"/>
    </sheetView>
  </sheetViews>
  <sheetFormatPr defaultRowHeight="14.5" x14ac:dyDescent="0.35"/>
  <cols>
    <col min="1" max="1" width="31.7265625" style="14" bestFit="1" customWidth="1"/>
    <col min="2" max="2" width="39.54296875" style="14" bestFit="1" customWidth="1"/>
    <col min="3" max="3" width="29.90625" style="14" customWidth="1"/>
    <col min="4" max="4" width="22.1796875" style="35" customWidth="1"/>
    <col min="5" max="5" width="19.26953125" style="36" customWidth="1"/>
    <col min="6" max="16384" width="8.7265625" style="34"/>
  </cols>
  <sheetData>
    <row r="1" spans="1:5" x14ac:dyDescent="0.35">
      <c r="A1" s="14" t="s">
        <v>33</v>
      </c>
      <c r="B1" s="14" t="s">
        <v>6</v>
      </c>
      <c r="C1" s="14" t="s">
        <v>221</v>
      </c>
      <c r="D1" s="35" t="s">
        <v>201</v>
      </c>
      <c r="E1" s="36" t="s">
        <v>48</v>
      </c>
    </row>
    <row r="2" spans="1:5" x14ac:dyDescent="0.35">
      <c r="A2" s="14" t="s">
        <v>72</v>
      </c>
      <c r="B2" s="14" t="str">
        <f>VLOOKUP(Taula8[[#This Row],[Nom sencer]],Alumnes!E:W,13,FALSE)</f>
        <v>-</v>
      </c>
      <c r="C2" s="14" t="str">
        <f>VLOOKUP(Taula8[[#This Row],[Nom sencer]],Alumnes!E:W,14,FALSE)</f>
        <v>jw.aguayo.25@sarria.salesians.cat</v>
      </c>
      <c r="D2" s="35" t="str">
        <f>VLOOKUP(Taula8[[#This Row],[Nom sencer]],Alumnes!E:W,15,FALSE)</f>
        <v>BV-2041 KM 3.5 GAVA</v>
      </c>
      <c r="E2" s="36">
        <f>VLOOKUP(Taula8[[#This Row],[Nom sencer]],Alumnes!E:W,18,FALSE)</f>
        <v>0</v>
      </c>
    </row>
    <row r="3" spans="1:5" x14ac:dyDescent="0.35">
      <c r="A3" s="14" t="s">
        <v>75</v>
      </c>
      <c r="B3" s="14">
        <f>VLOOKUP(Taula8[[#This Row],[Nom sencer]],Alumnes!E:W,13,FALSE)</f>
        <v>81272358665</v>
      </c>
      <c r="C3" s="14" t="str">
        <f>VLOOKUP(Taula8[[#This Row],[Nom sencer]],Alumnes!E:W,14,FALSE)</f>
        <v>javier.almendros@sarria.salesians.cat</v>
      </c>
      <c r="D3" s="35" t="str">
        <f>VLOOKUP(Taula8[[#This Row],[Nom sencer]],Alumnes!E:W,15,FALSE)</f>
        <v>carretera reial 79</v>
      </c>
      <c r="E3" s="36">
        <f>VLOOKUP(Taula8[[#This Row],[Nom sencer]],Alumnes!E:W,18,FALSE)</f>
        <v>0</v>
      </c>
    </row>
    <row r="4" spans="1:5" x14ac:dyDescent="0.35">
      <c r="A4" s="14" t="s">
        <v>77</v>
      </c>
      <c r="B4" s="14">
        <f>VLOOKUP(Taula8[[#This Row],[Nom sencer]],Alumnes!E:W,13,FALSE)</f>
        <v>81472398735</v>
      </c>
      <c r="C4" s="14" t="str">
        <f>VLOOKUP(Taula8[[#This Row],[Nom sencer]],Alumnes!E:W,14,FALSE)</f>
        <v>ivan.barrios@sarria.salesians.cat</v>
      </c>
      <c r="D4" s="35" t="str">
        <f>VLOOKUP(Taula8[[#This Row],[Nom sencer]],Alumnes!E:W,15,FALSE)</f>
        <v>C/Salvador Allende, 7-11</v>
      </c>
      <c r="E4" s="36">
        <f>VLOOKUP(Taula8[[#This Row],[Nom sencer]],Alumnes!E:W,18,FALSE)</f>
        <v>0</v>
      </c>
    </row>
    <row r="5" spans="1:5" x14ac:dyDescent="0.35">
      <c r="A5" s="14" t="s">
        <v>79</v>
      </c>
      <c r="B5" s="14">
        <f>VLOOKUP(Taula8[[#This Row],[Nom sencer]],Alumnes!E:W,13,FALSE)</f>
        <v>81473104108</v>
      </c>
      <c r="C5" s="14" t="str">
        <f>VLOOKUP(Taula8[[#This Row],[Nom sencer]],Alumnes!E:W,14,FALSE)</f>
        <v>david.benites@sarria.salesians.cat</v>
      </c>
      <c r="D5" s="35" t="str">
        <f>VLOOKUP(Taula8[[#This Row],[Nom sencer]],Alumnes!E:W,15,FALSE)</f>
        <v>Rambla de Mercedes, 14</v>
      </c>
      <c r="E5" s="36">
        <f>VLOOKUP(Taula8[[#This Row],[Nom sencer]],Alumnes!E:W,18,FALSE)</f>
        <v>0</v>
      </c>
    </row>
    <row r="6" spans="1:5" x14ac:dyDescent="0.35">
      <c r="A6" s="14" t="s">
        <v>82</v>
      </c>
      <c r="B6" s="14">
        <f>VLOOKUP(Taula8[[#This Row],[Nom sencer]],Alumnes!E:W,13,FALSE)</f>
        <v>81472197459</v>
      </c>
      <c r="C6" s="14" t="str">
        <f>VLOOKUP(Taula8[[#This Row],[Nom sencer]],Alumnes!E:W,14,FALSE)</f>
        <v>arnau.bonfil@sarria.salesians.cat</v>
      </c>
      <c r="D6" s="35" t="str">
        <f>VLOOKUP(Taula8[[#This Row],[Nom sencer]],Alumnes!E:W,15,FALSE)</f>
        <v>Carrer d'Amadeu Vives 15 1r 3ra</v>
      </c>
      <c r="E6" s="36">
        <f>VLOOKUP(Taula8[[#This Row],[Nom sencer]],Alumnes!E:W,18,FALSE)</f>
        <v>0</v>
      </c>
    </row>
    <row r="7" spans="1:5" x14ac:dyDescent="0.35">
      <c r="A7" s="14" t="s">
        <v>85</v>
      </c>
      <c r="B7" s="14">
        <f>VLOOKUP(Taula8[[#This Row],[Nom sencer]],Alumnes!E:W,13,FALSE)</f>
        <v>281595167663</v>
      </c>
      <c r="C7" s="14" t="str">
        <f>VLOOKUP(Taula8[[#This Row],[Nom sencer]],Alumnes!E:W,14,FALSE)</f>
        <v>jan.camps@sarria.salesians.cat</v>
      </c>
      <c r="D7" s="35" t="str">
        <f>VLOOKUP(Taula8[[#This Row],[Nom sencer]],Alumnes!E:W,15,FALSE)</f>
        <v>Carrer Sant Jaume nº 31</v>
      </c>
      <c r="E7" s="36">
        <f>VLOOKUP(Taula8[[#This Row],[Nom sencer]],Alumnes!E:W,18,FALSE)</f>
        <v>0</v>
      </c>
    </row>
    <row r="8" spans="1:5" x14ac:dyDescent="0.35">
      <c r="A8" s="14" t="s">
        <v>88</v>
      </c>
      <c r="B8" s="14">
        <f>VLOOKUP(Taula8[[#This Row],[Nom sencer]],Alumnes!E:W,13,FALSE)</f>
        <v>81379105448</v>
      </c>
      <c r="C8" s="14" t="str">
        <f>VLOOKUP(Taula8[[#This Row],[Nom sencer]],Alumnes!E:W,14,FALSE)</f>
        <v>rocco.cebrian@sarria.salesians.cat</v>
      </c>
      <c r="D8" s="35" t="str">
        <f>VLOOKUP(Taula8[[#This Row],[Nom sencer]],Alumnes!E:W,15,FALSE)</f>
        <v>Carolina catasus i bosch</v>
      </c>
      <c r="E8" s="36">
        <f>VLOOKUP(Taula8[[#This Row],[Nom sencer]],Alumnes!E:W,18,FALSE)</f>
        <v>0</v>
      </c>
    </row>
    <row r="9" spans="1:5" x14ac:dyDescent="0.35">
      <c r="A9" s="14" t="s">
        <v>91</v>
      </c>
      <c r="B9" s="14">
        <f>VLOOKUP(Taula8[[#This Row],[Nom sencer]],Alumnes!E:W,13,FALSE)</f>
        <v>81472172096</v>
      </c>
      <c r="C9" s="14" t="str">
        <f>VLOOKUP(Taula8[[#This Row],[Nom sencer]],Alumnes!E:W,14,FALSE)</f>
        <v>pau.chavero@sarria.salesians.cat</v>
      </c>
      <c r="D9" s="35" t="str">
        <f>VLOOKUP(Taula8[[#This Row],[Nom sencer]],Alumnes!E:W,15,FALSE)</f>
        <v>Carrer del japò 29 2-2</v>
      </c>
      <c r="E9" s="36">
        <f>VLOOKUP(Taula8[[#This Row],[Nom sencer]],Alumnes!E:W,18,FALSE)</f>
        <v>0</v>
      </c>
    </row>
    <row r="10" spans="1:5" x14ac:dyDescent="0.35">
      <c r="A10" s="14" t="s">
        <v>95</v>
      </c>
      <c r="B10" s="14">
        <f>VLOOKUP(Taula8[[#This Row],[Nom sencer]],Alumnes!E:W,13,FALSE)</f>
        <v>81472194126</v>
      </c>
      <c r="C10" s="14" t="str">
        <f>VLOOKUP(Taula8[[#This Row],[Nom sencer]],Alumnes!E:W,14,FALSE)</f>
        <v>iago.corbelle@sarria.salesians.cat</v>
      </c>
      <c r="D10" s="35" t="str">
        <f>VLOOKUP(Taula8[[#This Row],[Nom sencer]],Alumnes!E:W,15,FALSE)</f>
        <v>Av 300 n83</v>
      </c>
      <c r="E10" s="36">
        <f>VLOOKUP(Taula8[[#This Row],[Nom sencer]],Alumnes!E:W,18,FALSE)</f>
        <v>0</v>
      </c>
    </row>
    <row r="11" spans="1:5" x14ac:dyDescent="0.35">
      <c r="A11" s="14" t="s">
        <v>98</v>
      </c>
      <c r="B11" s="14">
        <f>VLOOKUP(Taula8[[#This Row],[Nom sencer]],Alumnes!E:W,13,FALSE)</f>
        <v>81513502685</v>
      </c>
      <c r="C11" s="14" t="str">
        <f>VLOOKUP(Taula8[[#This Row],[Nom sencer]],Alumnes!E:W,14,FALSE)</f>
        <v>asf.dublanche@sarria.salesians.cat</v>
      </c>
      <c r="D11" s="35" t="str">
        <f>VLOOKUP(Taula8[[#This Row],[Nom sencer]],Alumnes!E:W,15,FALSE)</f>
        <v>Carrer del Dipòsit, 6</v>
      </c>
      <c r="E11" s="36">
        <f>VLOOKUP(Taula8[[#This Row],[Nom sencer]],Alumnes!E:W,18,FALSE)</f>
        <v>0</v>
      </c>
    </row>
    <row r="12" spans="1:5" x14ac:dyDescent="0.35">
      <c r="A12" s="14" t="s">
        <v>101</v>
      </c>
      <c r="B12" s="14">
        <f>VLOOKUP(Taula8[[#This Row],[Nom sencer]],Alumnes!E:W,13,FALSE)</f>
        <v>81472210391</v>
      </c>
      <c r="C12" s="14" t="str">
        <f>VLOOKUP(Taula8[[#This Row],[Nom sencer]],Alumnes!E:W,14,FALSE)</f>
        <v>ivan.espejo@sarria.salesians.cat</v>
      </c>
      <c r="D12" s="35" t="str">
        <f>VLOOKUP(Taula8[[#This Row],[Nom sencer]],Alumnes!E:W,15,FALSE)</f>
        <v>Carrer Igualtat 51-53 1rA Esc.Izq</v>
      </c>
      <c r="E12" s="36">
        <f>VLOOKUP(Taula8[[#This Row],[Nom sencer]],Alumnes!E:W,18,FALSE)</f>
        <v>0</v>
      </c>
    </row>
    <row r="13" spans="1:5" x14ac:dyDescent="0.35">
      <c r="A13" s="14" t="s">
        <v>103</v>
      </c>
      <c r="B13" s="14">
        <f>VLOOKUP(Taula8[[#This Row],[Nom sencer]],Alumnes!E:W,13,FALSE)</f>
        <v>81499953910</v>
      </c>
      <c r="C13" s="14" t="str">
        <f>VLOOKUP(Taula8[[#This Row],[Nom sencer]],Alumnes!E:W,14,FALSE)</f>
        <v>joan.farre.25@sarria.salesians.cat</v>
      </c>
      <c r="D13" s="35" t="str">
        <f>VLOOKUP(Taula8[[#This Row],[Nom sencer]],Alumnes!E:W,15,FALSE)</f>
        <v>C: Ma Aurelia Capmany 18, 1-1</v>
      </c>
      <c r="E13" s="36">
        <f>VLOOKUP(Taula8[[#This Row],[Nom sencer]],Alumnes!E:W,18,FALSE)</f>
        <v>0</v>
      </c>
    </row>
    <row r="14" spans="1:5" x14ac:dyDescent="0.35">
      <c r="A14" s="14" t="s">
        <v>106</v>
      </c>
      <c r="B14" s="14">
        <f>VLOOKUP(Taula8[[#This Row],[Nom sencer]],Alumnes!E:W,13,FALSE)</f>
        <v>81357068563</v>
      </c>
      <c r="C14" s="14" t="str">
        <f>VLOOKUP(Taula8[[#This Row],[Nom sencer]],Alumnes!E:W,14,FALSE)</f>
        <v>ss.fernandes@sarria.salesians.cat</v>
      </c>
      <c r="D14" s="35" t="str">
        <f>VLOOKUP(Taula8[[#This Row],[Nom sencer]],Alumnes!E:W,15,FALSE)</f>
        <v>Avinguda del Puig de Rimila 10</v>
      </c>
      <c r="E14" s="36">
        <f>VLOOKUP(Taula8[[#This Row],[Nom sencer]],Alumnes!E:W,18,FALSE)</f>
        <v>0</v>
      </c>
    </row>
    <row r="15" spans="1:5" x14ac:dyDescent="0.35">
      <c r="A15" s="14" t="s">
        <v>108</v>
      </c>
      <c r="B15" s="14" t="str">
        <f>VLOOKUP(Taula8[[#This Row],[Nom sencer]],Alumnes!E:W,13,FALSE)</f>
        <v>-</v>
      </c>
      <c r="C15" s="14" t="str">
        <f>VLOOKUP(Taula8[[#This Row],[Nom sencer]],Alumnes!E:W,14,FALSE)</f>
        <v>didac.gallego@sarria.salesians.cat</v>
      </c>
      <c r="D15" s="35" t="str">
        <f>VLOOKUP(Taula8[[#This Row],[Nom sencer]],Alumnes!E:W,15,FALSE)</f>
        <v/>
      </c>
      <c r="E15" s="36">
        <f>VLOOKUP(Taula8[[#This Row],[Nom sencer]],Alumnes!E:W,18,FALSE)</f>
        <v>0</v>
      </c>
    </row>
    <row r="16" spans="1:5" x14ac:dyDescent="0.35">
      <c r="A16" s="14" t="s">
        <v>111</v>
      </c>
      <c r="B16" s="14">
        <f>VLOOKUP(Taula8[[#This Row],[Nom sencer]],Alumnes!E:W,13,FALSE)</f>
        <v>81217190826</v>
      </c>
      <c r="C16" s="14" t="str">
        <f>VLOOKUP(Taula8[[#This Row],[Nom sencer]],Alumnes!E:W,14,FALSE)</f>
        <v>edgar.guerra.25@sarria.salesians.cat</v>
      </c>
      <c r="D16" s="35" t="str">
        <f>VLOOKUP(Taula8[[#This Row],[Nom sencer]],Alumnes!E:W,15,FALSE)</f>
        <v>Rambla Badal 36, 5-2, Escalera B</v>
      </c>
      <c r="E16" s="36">
        <f>VLOOKUP(Taula8[[#This Row],[Nom sencer]],Alumnes!E:W,18,FALSE)</f>
        <v>0</v>
      </c>
    </row>
    <row r="17" spans="1:5" x14ac:dyDescent="0.35">
      <c r="A17" s="14" t="s">
        <v>113</v>
      </c>
      <c r="B17" s="14">
        <f>VLOOKUP(Taula8[[#This Row],[Nom sencer]],Alumnes!E:W,13,FALSE)</f>
        <v>81377464734</v>
      </c>
      <c r="C17" s="14" t="str">
        <f>VLOOKUP(Taula8[[#This Row],[Nom sencer]],Alumnes!E:W,14,FALSE)</f>
        <v>arnau.guillamon@sarria.salesians.cat</v>
      </c>
      <c r="D17" s="35" t="str">
        <f>VLOOKUP(Taula8[[#This Row],[Nom sencer]],Alumnes!E:W,15,FALSE)</f>
        <v>Joana Raspall 11</v>
      </c>
      <c r="E17" s="36">
        <f>VLOOKUP(Taula8[[#This Row],[Nom sencer]],Alumnes!E:W,18,FALSE)</f>
        <v>0</v>
      </c>
    </row>
    <row r="18" spans="1:5" x14ac:dyDescent="0.35">
      <c r="A18" s="14" t="s">
        <v>116</v>
      </c>
      <c r="B18" s="14">
        <f>VLOOKUP(Taula8[[#This Row],[Nom sencer]],Alumnes!E:W,13,FALSE)</f>
        <v>81378007227</v>
      </c>
      <c r="C18" s="14" t="str">
        <f>VLOOKUP(Taula8[[#This Row],[Nom sencer]],Alumnes!E:W,14,FALSE)</f>
        <v>hugo.jurado@sarria.salesians.cat</v>
      </c>
      <c r="D18" s="35" t="str">
        <f>VLOOKUP(Taula8[[#This Row],[Nom sencer]],Alumnes!E:W,15,FALSE)</f>
        <v>Avinguda de Josep Ferrer i Domingo, 4</v>
      </c>
      <c r="E18" s="36">
        <f>VLOOKUP(Taula8[[#This Row],[Nom sencer]],Alumnes!E:W,18,FALSE)</f>
        <v>0</v>
      </c>
    </row>
    <row r="19" spans="1:5" x14ac:dyDescent="0.35">
      <c r="A19" s="14" t="s">
        <v>119</v>
      </c>
      <c r="B19" s="14">
        <f>VLOOKUP(Taula8[[#This Row],[Nom sencer]],Alumnes!E:W,13,FALSE)</f>
        <v>81472197863</v>
      </c>
      <c r="C19" s="14" t="str">
        <f>VLOOKUP(Taula8[[#This Row],[Nom sencer]],Alumnes!E:W,14,FALSE)</f>
        <v>hector.lucas@sarria.salesians.cat</v>
      </c>
      <c r="D19" s="35" t="str">
        <f>VLOOKUP(Taula8[[#This Row],[Nom sencer]],Alumnes!E:W,15,FALSE)</f>
        <v>Carrer Ullastrell, 38 08630 Abrera, Barcelona</v>
      </c>
      <c r="E19" s="36">
        <f>VLOOKUP(Taula8[[#This Row],[Nom sencer]],Alumnes!E:W,18,FALSE)</f>
        <v>0</v>
      </c>
    </row>
    <row r="20" spans="1:5" x14ac:dyDescent="0.35">
      <c r="A20" s="14" t="s">
        <v>122</v>
      </c>
      <c r="B20" s="14">
        <f>VLOOKUP(Taula8[[#This Row],[Nom sencer]],Alumnes!E:W,13,FALSE)</f>
        <v>81516553236</v>
      </c>
      <c r="C20" s="14" t="str">
        <f>VLOOKUP(Taula8[[#This Row],[Nom sencer]],Alumnes!E:W,14,FALSE)</f>
        <v>sheila.miller.25@sarria.salesians.cat</v>
      </c>
      <c r="D20" s="35" t="str">
        <f>VLOOKUP(Taula8[[#This Row],[Nom sencer]],Alumnes!E:W,15,FALSE)</f>
        <v>Carrer Mineria 1, esc.A, pis 5, porta 8</v>
      </c>
      <c r="E20" s="36">
        <f>VLOOKUP(Taula8[[#This Row],[Nom sencer]],Alumnes!E:W,18,FALSE)</f>
        <v>0</v>
      </c>
    </row>
    <row r="21" spans="1:5" x14ac:dyDescent="0.35">
      <c r="A21" s="14" t="s">
        <v>125</v>
      </c>
      <c r="B21" s="14">
        <f>VLOOKUP(Taula8[[#This Row],[Nom sencer]],Alumnes!E:W,13,FALSE)</f>
        <v>81345281346</v>
      </c>
      <c r="C21" s="14" t="str">
        <f>VLOOKUP(Taula8[[#This Row],[Nom sencer]],Alumnes!E:W,14,FALSE)</f>
        <v>tristan.miravete@sarria.salesians.cat</v>
      </c>
      <c r="D21" s="35" t="str">
        <f>VLOOKUP(Taula8[[#This Row],[Nom sencer]],Alumnes!E:W,15,FALSE)</f>
        <v>Carrer Calabria 33 5,2</v>
      </c>
      <c r="E21" s="36">
        <f>VLOOKUP(Taula8[[#This Row],[Nom sencer]],Alumnes!E:W,18,FALSE)</f>
        <v>0</v>
      </c>
    </row>
    <row r="22" spans="1:5" x14ac:dyDescent="0.35">
      <c r="A22" s="14" t="s">
        <v>128</v>
      </c>
      <c r="B22" s="14">
        <f>VLOOKUP(Taula8[[#This Row],[Nom sencer]],Alumnes!E:W,13,FALSE)</f>
        <v>81473024686</v>
      </c>
      <c r="C22" s="14" t="str">
        <f>VLOOKUP(Taula8[[#This Row],[Nom sencer]],Alumnes!E:W,14,FALSE)</f>
        <v>alvaro.perez@sarria.salesians.cat</v>
      </c>
      <c r="D22" s="35" t="str">
        <f>VLOOKUP(Taula8[[#This Row],[Nom sencer]],Alumnes!E:W,15,FALSE)</f>
        <v>Carrer Enric Prat de la Riba, 43</v>
      </c>
      <c r="E22" s="36">
        <f>VLOOKUP(Taula8[[#This Row],[Nom sencer]],Alumnes!E:W,18,FALSE)</f>
        <v>0</v>
      </c>
    </row>
    <row r="23" spans="1:5" x14ac:dyDescent="0.35">
      <c r="A23" s="14" t="s">
        <v>131</v>
      </c>
      <c r="B23" s="14">
        <f>VLOOKUP(Taula8[[#This Row],[Nom sencer]],Alumnes!E:W,13,FALSE)</f>
        <v>81472251013</v>
      </c>
      <c r="C23" s="14" t="str">
        <f>VLOOKUP(Taula8[[#This Row],[Nom sencer]],Alumnes!E:W,14,FALSE)</f>
        <v>samuel.pesado@sarria.salesians.cat</v>
      </c>
      <c r="D23" s="35" t="str">
        <f>VLOOKUP(Taula8[[#This Row],[Nom sencer]],Alumnes!E:W,15,FALSE)</f>
        <v>cami de can oriol</v>
      </c>
      <c r="E23" s="36">
        <f>VLOOKUP(Taula8[[#This Row],[Nom sencer]],Alumnes!E:W,18,FALSE)</f>
        <v>0</v>
      </c>
    </row>
    <row r="24" spans="1:5" x14ac:dyDescent="0.35">
      <c r="A24" s="14" t="s">
        <v>133</v>
      </c>
      <c r="B24" s="14">
        <f>VLOOKUP(Taula8[[#This Row],[Nom sencer]],Alumnes!E:W,13,FALSE)</f>
        <v>81516648822</v>
      </c>
      <c r="C24" s="14" t="str">
        <f>VLOOKUP(Taula8[[#This Row],[Nom sencer]],Alumnes!E:W,14,FALSE)</f>
        <v>marc.ricote@sarria.salesians.cat</v>
      </c>
      <c r="D24" s="35" t="str">
        <f>VLOOKUP(Taula8[[#This Row],[Nom sencer]],Alumnes!E:W,15,FALSE)</f>
        <v>Passeig de la zona franca 208, ESC IZQ ATCO 2</v>
      </c>
      <c r="E24" s="36">
        <f>VLOOKUP(Taula8[[#This Row],[Nom sencer]],Alumnes!E:W,18,FALSE)</f>
        <v>0</v>
      </c>
    </row>
    <row r="25" spans="1:5" x14ac:dyDescent="0.35">
      <c r="A25" s="14" t="s">
        <v>135</v>
      </c>
      <c r="B25" s="14">
        <f>VLOOKUP(Taula8[[#This Row],[Nom sencer]],Alumnes!E:W,13,FALSE)</f>
        <v>81376947705</v>
      </c>
      <c r="C25" s="14" t="str">
        <f>VLOOKUP(Taula8[[#This Row],[Nom sencer]],Alumnes!E:W,14,FALSE)</f>
        <v>mario.rodriguez@sarria.salesians.cat</v>
      </c>
      <c r="D25" s="35" t="str">
        <f>VLOOKUP(Taula8[[#This Row],[Nom sencer]],Alumnes!E:W,15,FALSE)</f>
        <v>Carrer San Sebastián 110, Sant Cugat del Vallès</v>
      </c>
      <c r="E25" s="36">
        <f>VLOOKUP(Taula8[[#This Row],[Nom sencer]],Alumnes!E:W,18,FALSE)</f>
        <v>0</v>
      </c>
    </row>
    <row r="26" spans="1:5" x14ac:dyDescent="0.35">
      <c r="A26" s="14" t="s">
        <v>138</v>
      </c>
      <c r="B26" s="14">
        <f>VLOOKUP(Taula8[[#This Row],[Nom sencer]],Alumnes!E:W,13,FALSE)</f>
        <v>81455961679</v>
      </c>
      <c r="C26" s="14" t="str">
        <f>VLOOKUP(Taula8[[#This Row],[Nom sencer]],Alumnes!E:W,14,FALSE)</f>
        <v>am.sanchez.25@sarria.salesians.cat</v>
      </c>
      <c r="D26" s="35" t="str">
        <f>VLOOKUP(Taula8[[#This Row],[Nom sencer]],Alumnes!E:W,15,FALSE)</f>
        <v>andyvmpier@gmail.com</v>
      </c>
      <c r="E26" s="36">
        <f>VLOOKUP(Taula8[[#This Row],[Nom sencer]],Alumnes!E:W,18,FALSE)</f>
        <v>0</v>
      </c>
    </row>
    <row r="27" spans="1:5" x14ac:dyDescent="0.35">
      <c r="A27" s="14" t="s">
        <v>141</v>
      </c>
      <c r="B27" s="14">
        <f>VLOOKUP(Taula8[[#This Row],[Nom sencer]],Alumnes!E:W,13,FALSE)</f>
        <v>81472138350</v>
      </c>
      <c r="C27" s="14" t="str">
        <f>VLOOKUP(Taula8[[#This Row],[Nom sencer]],Alumnes!E:W,14,FALSE)</f>
        <v>izan.simarro@sarria.salesians.cat</v>
      </c>
      <c r="D27" s="35" t="str">
        <f>VLOOKUP(Taula8[[#This Row],[Nom sencer]],Alumnes!E:W,15,FALSE)</f>
        <v>Carrer Gernika, 1-5, 6º 4</v>
      </c>
      <c r="E27" s="36">
        <f>VLOOKUP(Taula8[[#This Row],[Nom sencer]],Alumnes!E:W,18,FALSE)</f>
        <v>0</v>
      </c>
    </row>
    <row r="28" spans="1:5" x14ac:dyDescent="0.35">
      <c r="A28" s="14" t="s">
        <v>144</v>
      </c>
      <c r="B28" s="14">
        <f>VLOOKUP(Taula8[[#This Row],[Nom sencer]],Alumnes!E:W,13,FALSE)</f>
        <v>81472210694</v>
      </c>
      <c r="C28" s="14" t="str">
        <f>VLOOKUP(Taula8[[#This Row],[Nom sencer]],Alumnes!E:W,14,FALSE)</f>
        <v>montserrat.xu@sarria.salesians.cat</v>
      </c>
      <c r="D28" s="35" t="str">
        <f>VLOOKUP(Taula8[[#This Row],[Nom sencer]],Alumnes!E:W,15,FALSE)</f>
        <v>Pl. d'Europa, 14, 15A</v>
      </c>
      <c r="E28" s="36">
        <f>VLOOKUP(Taula8[[#This Row],[Nom sencer]],Alumnes!E:W,18,FALSE)</f>
        <v>0</v>
      </c>
    </row>
    <row r="29" spans="1:5" x14ac:dyDescent="0.35">
      <c r="A29" s="14" t="s">
        <v>146</v>
      </c>
      <c r="B29" s="14">
        <f>VLOOKUP(Taula8[[#This Row],[Nom sencer]],Alumnes!E:W,13,FALSE)</f>
        <v>81471670124</v>
      </c>
      <c r="C29" s="14" t="str">
        <f>VLOOKUP(Taula8[[#This Row],[Nom sencer]],Alumnes!E:W,14,FALSE)</f>
        <v>biel.xufre.25@sarria.salesians.cat</v>
      </c>
      <c r="D29" s="35" t="str">
        <f>VLOOKUP(Taula8[[#This Row],[Nom sencer]],Alumnes!E:W,15,FALSE)</f>
        <v>Carre Sant Joan 39</v>
      </c>
      <c r="E29" s="36">
        <f>VLOOKUP(Taula8[[#This Row],[Nom sencer]],Alumnes!E:W,18,FALSE)</f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8</vt:i4>
      </vt:variant>
    </vt:vector>
  </HeadingPairs>
  <TitlesOfParts>
    <vt:vector size="8" baseType="lpstr">
      <vt:lpstr>Alumnes</vt:lpstr>
      <vt:lpstr>Empreses</vt:lpstr>
      <vt:lpstr>Seguiment</vt:lpstr>
      <vt:lpstr>Resum alumnes</vt:lpstr>
      <vt:lpstr>Resum seguiment</vt:lpstr>
      <vt:lpstr>Paràmetres</vt:lpstr>
      <vt:lpstr>Questionari</vt:lpstr>
      <vt:lpstr>Adreces alumnes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Tomás Comellas (PROFESSOR)</dc:creator>
  <cp:lastModifiedBy>Josep Tomàs Comellas</cp:lastModifiedBy>
  <dcterms:created xsi:type="dcterms:W3CDTF">2025-09-17T06:38:58Z</dcterms:created>
  <dcterms:modified xsi:type="dcterms:W3CDTF">2026-05-13T14:55:10Z</dcterms:modified>
</cp:coreProperties>
</file>